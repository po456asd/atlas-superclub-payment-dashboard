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I:\.Windows\Desktop\"/>
    </mc:Choice>
  </mc:AlternateContent>
  <xr:revisionPtr revIDLastSave="0" documentId="13_ncr:1_{891469AE-B518-4513-B3EA-D66D4600D0B9}" xr6:coauthVersionLast="47" xr6:coauthVersionMax="47" xr10:uidLastSave="{00000000-0000-0000-0000-000000000000}"/>
  <bookViews>
    <workbookView xWindow="-105" yWindow="0" windowWidth="26010" windowHeight="20985" activeTab="1" xr2:uid="{00000000-000D-0000-FFFF-FFFF00000000}"/>
  </bookViews>
  <sheets>
    <sheet name="Payment Received Summary" sheetId="1" r:id="rId1"/>
    <sheet name="Retention 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2" l="1"/>
  <c r="C29" i="2"/>
  <c r="C20" i="2"/>
  <c r="C14" i="2"/>
  <c r="C9" i="2"/>
  <c r="H77" i="1"/>
  <c r="H79" i="1" s="1"/>
  <c r="H71" i="1"/>
  <c r="H73" i="1" s="1"/>
  <c r="H65" i="1"/>
  <c r="H67" i="1" s="1"/>
  <c r="H58" i="1"/>
  <c r="H60" i="1" s="1"/>
  <c r="H52" i="1"/>
  <c r="H54" i="1" s="1"/>
  <c r="H46" i="1"/>
  <c r="H39" i="1"/>
  <c r="H41" i="1" s="1"/>
  <c r="H28" i="1"/>
  <c r="H30" i="1" s="1"/>
  <c r="H20" i="1"/>
  <c r="H22" i="1" s="1"/>
  <c r="H10" i="1"/>
  <c r="H12" i="1" s="1"/>
  <c r="H48" i="1" l="1"/>
</calcChain>
</file>

<file path=xl/sharedStrings.xml><?xml version="1.0" encoding="utf-8"?>
<sst xmlns="http://schemas.openxmlformats.org/spreadsheetml/2006/main" count="234" uniqueCount="63">
  <si>
    <t>Payment Claim &amp; Reference</t>
  </si>
  <si>
    <t>A Before VAT</t>
  </si>
  <si>
    <t>B Retention</t>
  </si>
  <si>
    <t>C VAT</t>
  </si>
  <si>
    <t>D Sub Total</t>
  </si>
  <si>
    <t>E WH Tax</t>
  </si>
  <si>
    <t>F Grand Total</t>
  </si>
  <si>
    <t>Remaining</t>
  </si>
  <si>
    <t>PAYMENT RECEIVED SUMMARY</t>
  </si>
  <si>
    <t/>
  </si>
  <si>
    <t>(3 Claims)</t>
  </si>
  <si>
    <t>25962025/018</t>
  </si>
  <si>
    <t>25962025/Payment (VO)/014 R.1</t>
  </si>
  <si>
    <t>25962026/Payment (Final Claim)/001</t>
  </si>
  <si>
    <t>(5 Claims)</t>
  </si>
  <si>
    <t>Xti/ASC/Payment/008</t>
  </si>
  <si>
    <t>Xti/ASC/Claim VO/010</t>
  </si>
  <si>
    <t>BI2512001</t>
  </si>
  <si>
    <t>BI2512002</t>
  </si>
  <si>
    <t>BI2512003</t>
  </si>
  <si>
    <t>BKD/ASC/Payment/009</t>
  </si>
  <si>
    <t>Claim VO. No. 1 VO of Final Account SI-040</t>
  </si>
  <si>
    <t>Claim VO. No. 2 VO of Final Account SI-050</t>
  </si>
  <si>
    <t>(6 Claims)</t>
  </si>
  <si>
    <t>M&amp;E/ASC/RFA/Payment/013</t>
  </si>
  <si>
    <t>M&amp;E-ASC-RFA-Payment Claim VO-AC-015</t>
  </si>
  <si>
    <t>M&amp;E-ASC-RFA-Payment Claim VO-EE-005</t>
  </si>
  <si>
    <t>M&amp;E-ASC-RFA-Payment Claim VO-EE-006</t>
  </si>
  <si>
    <t>M&amp;E-ASC-RFA-Payment Claim VO-EE-007</t>
  </si>
  <si>
    <t>M&amp;E-ASC-RFA-Payment Claim VO-EE-008 Rev.2</t>
  </si>
  <si>
    <t>(2 Claims)</t>
  </si>
  <si>
    <t>SO202412/0299</t>
  </si>
  <si>
    <t>SO202412/0387</t>
  </si>
  <si>
    <t>(1 Claims)</t>
  </si>
  <si>
    <t>KONE/ASK/Payment/002</t>
  </si>
  <si>
    <t>Quotation No.QT-SA-67-254-01-1-PM</t>
  </si>
  <si>
    <t>Inv.No.202512/008</t>
  </si>
  <si>
    <t>QB202512005</t>
  </si>
  <si>
    <t>No. : 035-2-68</t>
  </si>
  <si>
    <t>MC-AL-001</t>
  </si>
  <si>
    <t>RETENTION SUMMARY</t>
  </si>
  <si>
    <t>Total Retention</t>
  </si>
  <si>
    <t>(3 Claims with Retention)</t>
  </si>
  <si>
    <t>(2 Claims with Retention)</t>
  </si>
  <si>
    <t>(6 Claims with Retention)</t>
  </si>
  <si>
    <t>(1 Claims with Retention)</t>
  </si>
  <si>
    <t>ATLAS/MAT&amp;INSTALL/IPC-001</t>
  </si>
  <si>
    <t>Total</t>
  </si>
  <si>
    <t>Italian-Thai Development PLC</t>
  </si>
  <si>
    <t>XTi Thailand Co., Ltd.</t>
  </si>
  <si>
    <t>BANGKOK DEC - CON PUBLIC COMPANY LIMITED</t>
  </si>
  <si>
    <t>ME ASIA (THAILAND) COMPANY LIMITED</t>
  </si>
  <si>
    <t>VJ Supplies Euronations Co.,Ltd</t>
  </si>
  <si>
    <t>KONE PUBLIC COMPANY LIMITED</t>
  </si>
  <si>
    <t>MAXTECH ELEVATOR AND SEVICE COMPANY LIMITED</t>
  </si>
  <si>
    <t>Big Ant Production Co.,Ltd. </t>
  </si>
  <si>
    <t>TEN YEARS AFTER AUDIO CO., LTD.</t>
  </si>
  <si>
    <t>MASTERCRAFT CO., LTD.</t>
  </si>
  <si>
    <t>Total Claim</t>
  </si>
  <si>
    <t>Total Claims Value</t>
  </si>
  <si>
    <t>Total Received</t>
  </si>
  <si>
    <t>Received</t>
  </si>
  <si>
    <t>MEGA ENGINEERING ASIA CO.,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</si>
</sst>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2"/>
      <color theme="1"/>
      <name val="Tahoma"/>
      <family val="2"/>
      <scheme val="minor"/>
    </font>
    <font>
      <sz val="12"/>
      <color theme="1"/>
      <name val="Tahoma"/>
      <family val="2"/>
      <scheme val="minor"/>
    </font>
    <font>
      <b/>
      <sz val="12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43" fontId="0" fillId="0" borderId="0" xfId="1" applyFont="1"/>
    <xf numFmtId="43" fontId="2" fillId="0" borderId="1" xfId="1" applyFont="1" applyBorder="1"/>
    <xf numFmtId="43" fontId="0" fillId="0" borderId="1" xfId="1" applyFont="1" applyBorder="1"/>
    <xf numFmtId="4" fontId="2" fillId="0" borderId="1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0"/>
  <sheetViews>
    <sheetView topLeftCell="A10" workbookViewId="0">
      <selection activeCell="A32" sqref="A32"/>
    </sheetView>
  </sheetViews>
  <sheetFormatPr defaultRowHeight="15" x14ac:dyDescent="0.2"/>
  <cols>
    <col min="1" max="1" width="26.5546875" customWidth="1"/>
    <col min="2" max="2" width="41.33203125" style="1" bestFit="1" customWidth="1"/>
    <col min="3" max="8" width="16.6640625" style="1" customWidth="1"/>
  </cols>
  <sheetData>
    <row r="1" spans="1:8" x14ac:dyDescent="0.2">
      <c r="A1" t="s">
        <v>8</v>
      </c>
    </row>
    <row r="2" spans="1:8" x14ac:dyDescent="0.2">
      <c r="A2" t="s">
        <v>9</v>
      </c>
      <c r="C2" s="1" t="s">
        <v>59</v>
      </c>
      <c r="D2" s="1" t="s">
        <v>60</v>
      </c>
      <c r="E2" s="1" t="s">
        <v>7</v>
      </c>
    </row>
    <row r="3" spans="1:8" x14ac:dyDescent="0.2">
      <c r="A3" t="s">
        <v>9</v>
      </c>
      <c r="C3" s="1">
        <v>33703483.630000003</v>
      </c>
      <c r="D3" s="1">
        <v>11443345.289999999</v>
      </c>
      <c r="E3" s="1">
        <v>22260138.34</v>
      </c>
    </row>
    <row r="5" spans="1:8" x14ac:dyDescent="0.2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</row>
    <row r="6" spans="1:8" x14ac:dyDescent="0.2">
      <c r="A6" t="s">
        <v>48</v>
      </c>
      <c r="B6" s="1" t="s">
        <v>10</v>
      </c>
      <c r="C6" s="1" t="s">
        <v>9</v>
      </c>
      <c r="D6" s="1" t="s">
        <v>9</v>
      </c>
      <c r="E6" s="1" t="s">
        <v>9</v>
      </c>
      <c r="F6" s="1" t="s">
        <v>9</v>
      </c>
      <c r="G6" s="1" t="s">
        <v>9</v>
      </c>
      <c r="H6" s="1" t="s">
        <v>9</v>
      </c>
    </row>
    <row r="7" spans="1:8" x14ac:dyDescent="0.2">
      <c r="A7">
        <v>1</v>
      </c>
      <c r="B7" s="1" t="s">
        <v>11</v>
      </c>
      <c r="C7" s="1">
        <v>114863.49</v>
      </c>
      <c r="D7" s="1">
        <v>2614947</v>
      </c>
      <c r="E7" s="1">
        <v>8040.44</v>
      </c>
      <c r="F7" s="1">
        <v>122903.93</v>
      </c>
      <c r="G7" s="1">
        <v>3445.9</v>
      </c>
      <c r="H7" s="1">
        <v>119458.03</v>
      </c>
    </row>
    <row r="8" spans="1:8" x14ac:dyDescent="0.2">
      <c r="A8">
        <v>2</v>
      </c>
      <c r="B8" s="1" t="s">
        <v>12</v>
      </c>
      <c r="C8" s="1">
        <v>1297004.8899999999</v>
      </c>
      <c r="D8" s="1">
        <v>2565411.65</v>
      </c>
      <c r="E8" s="1">
        <v>90790.34</v>
      </c>
      <c r="F8" s="1">
        <v>1310703.6200000001</v>
      </c>
      <c r="G8" s="1">
        <v>38910.15</v>
      </c>
      <c r="H8" s="1">
        <v>1271793.47</v>
      </c>
    </row>
    <row r="9" spans="1:8" x14ac:dyDescent="0.2">
      <c r="A9">
        <v>3</v>
      </c>
      <c r="B9" s="1" t="s">
        <v>13</v>
      </c>
      <c r="C9" s="1">
        <v>13249560.24</v>
      </c>
      <c r="D9" s="1">
        <v>662478.02</v>
      </c>
      <c r="E9" s="1">
        <v>927469.22</v>
      </c>
      <c r="F9" s="1">
        <v>13514551.439999999</v>
      </c>
      <c r="G9" s="1">
        <v>397486.81</v>
      </c>
      <c r="H9" s="1">
        <v>13117064.630000001</v>
      </c>
    </row>
    <row r="10" spans="1:8" x14ac:dyDescent="0.2">
      <c r="A10" t="s">
        <v>58</v>
      </c>
      <c r="B10" s="1" t="s">
        <v>9</v>
      </c>
      <c r="D10" s="1" t="s">
        <v>9</v>
      </c>
      <c r="E10" s="1" t="s">
        <v>9</v>
      </c>
      <c r="F10" s="1">
        <v>0</v>
      </c>
      <c r="G10" s="1" t="s">
        <v>9</v>
      </c>
      <c r="H10" s="1">
        <f>SUM(H7:H9)</f>
        <v>14508316.130000001</v>
      </c>
    </row>
    <row r="11" spans="1:8" x14ac:dyDescent="0.2">
      <c r="A11" t="s">
        <v>61</v>
      </c>
      <c r="H11" s="1">
        <v>1526413.96</v>
      </c>
    </row>
    <row r="12" spans="1:8" ht="15.75" thickBot="1" x14ac:dyDescent="0.25">
      <c r="A12" t="s">
        <v>7</v>
      </c>
      <c r="H12" s="2">
        <f>H10-H11</f>
        <v>12981902.170000002</v>
      </c>
    </row>
    <row r="13" spans="1:8" ht="15.75" thickTop="1" x14ac:dyDescent="0.2"/>
    <row r="14" spans="1:8" x14ac:dyDescent="0.2">
      <c r="A14" t="s">
        <v>49</v>
      </c>
      <c r="B14" s="1" t="s">
        <v>14</v>
      </c>
      <c r="C14" s="1" t="s">
        <v>9</v>
      </c>
      <c r="D14" s="1" t="s">
        <v>9</v>
      </c>
      <c r="E14" s="1" t="s">
        <v>9</v>
      </c>
      <c r="F14" s="1" t="s">
        <v>9</v>
      </c>
      <c r="G14" s="1" t="s">
        <v>9</v>
      </c>
      <c r="H14" s="1" t="s">
        <v>9</v>
      </c>
    </row>
    <row r="15" spans="1:8" x14ac:dyDescent="0.2">
      <c r="A15">
        <v>1</v>
      </c>
      <c r="B15" s="1" t="s">
        <v>15</v>
      </c>
      <c r="C15" s="1">
        <v>1314339.83</v>
      </c>
      <c r="D15" s="1">
        <v>977714.11</v>
      </c>
      <c r="E15" s="1">
        <v>92003.79</v>
      </c>
      <c r="F15" s="1">
        <v>1312462.21</v>
      </c>
      <c r="G15" s="1">
        <v>39430.18</v>
      </c>
      <c r="H15" s="1">
        <v>1273032.03</v>
      </c>
    </row>
    <row r="16" spans="1:8" x14ac:dyDescent="0.2">
      <c r="A16">
        <v>2</v>
      </c>
      <c r="B16" s="1" t="s">
        <v>16</v>
      </c>
      <c r="C16" s="1">
        <v>3351702.91</v>
      </c>
      <c r="D16" s="1">
        <v>123300</v>
      </c>
      <c r="E16" s="1">
        <v>234619.2</v>
      </c>
      <c r="F16" s="1">
        <v>3565441.31</v>
      </c>
      <c r="G16" s="1">
        <v>100551.09</v>
      </c>
      <c r="H16" s="1">
        <v>3464890.22</v>
      </c>
    </row>
    <row r="17" spans="1:8" x14ac:dyDescent="0.2">
      <c r="A17">
        <v>3</v>
      </c>
      <c r="B17" s="1" t="s">
        <v>17</v>
      </c>
      <c r="C17" s="1">
        <v>83225.5</v>
      </c>
      <c r="D17" s="1">
        <v>0</v>
      </c>
      <c r="E17" s="1">
        <v>5825.79</v>
      </c>
      <c r="F17" s="1">
        <v>89051.29</v>
      </c>
      <c r="G17" s="1">
        <v>2496.77</v>
      </c>
      <c r="H17" s="1">
        <v>86554.52</v>
      </c>
    </row>
    <row r="18" spans="1:8" x14ac:dyDescent="0.2">
      <c r="A18">
        <v>4</v>
      </c>
      <c r="B18" s="1" t="s">
        <v>18</v>
      </c>
      <c r="C18" s="1">
        <v>32920.980000000003</v>
      </c>
      <c r="D18" s="1">
        <v>0</v>
      </c>
      <c r="E18" s="1">
        <v>2304.4699999999998</v>
      </c>
      <c r="F18" s="1">
        <v>35225.449999999997</v>
      </c>
      <c r="G18" s="1">
        <v>987.63</v>
      </c>
      <c r="H18" s="1">
        <v>34237.82</v>
      </c>
    </row>
    <row r="19" spans="1:8" x14ac:dyDescent="0.2">
      <c r="A19">
        <v>5</v>
      </c>
      <c r="B19" s="1" t="s">
        <v>19</v>
      </c>
      <c r="C19" s="1">
        <v>38140.19</v>
      </c>
      <c r="D19" s="1">
        <v>0</v>
      </c>
      <c r="E19" s="1">
        <v>2669.81</v>
      </c>
      <c r="F19" s="1">
        <v>40810</v>
      </c>
      <c r="G19" s="1">
        <v>1144.21</v>
      </c>
      <c r="H19" s="1">
        <v>39665.800000000003</v>
      </c>
    </row>
    <row r="20" spans="1:8" x14ac:dyDescent="0.2">
      <c r="A20" t="s">
        <v>58</v>
      </c>
      <c r="B20" s="1" t="s">
        <v>9</v>
      </c>
      <c r="D20" s="1" t="s">
        <v>9</v>
      </c>
      <c r="E20" s="1" t="s">
        <v>9</v>
      </c>
      <c r="F20" s="1">
        <v>0</v>
      </c>
      <c r="G20" s="1" t="s">
        <v>9</v>
      </c>
      <c r="H20" s="1">
        <f>SUM(H15:H19)</f>
        <v>4898380.3899999997</v>
      </c>
    </row>
    <row r="21" spans="1:8" x14ac:dyDescent="0.2">
      <c r="A21" t="s">
        <v>61</v>
      </c>
      <c r="H21" s="1">
        <v>80424.45</v>
      </c>
    </row>
    <row r="22" spans="1:8" ht="15.75" thickBot="1" x14ac:dyDescent="0.25">
      <c r="A22" t="s">
        <v>7</v>
      </c>
      <c r="H22" s="2">
        <f>H20-H21</f>
        <v>4817955.9399999995</v>
      </c>
    </row>
    <row r="23" spans="1:8" ht="15.75" thickTop="1" x14ac:dyDescent="0.2"/>
    <row r="24" spans="1:8" x14ac:dyDescent="0.2">
      <c r="A24" t="s">
        <v>50</v>
      </c>
      <c r="B24" s="1" t="s">
        <v>10</v>
      </c>
      <c r="C24" s="1" t="s">
        <v>9</v>
      </c>
      <c r="D24" s="1" t="s">
        <v>9</v>
      </c>
      <c r="E24" s="1" t="s">
        <v>9</v>
      </c>
      <c r="F24" s="1" t="s">
        <v>9</v>
      </c>
      <c r="G24" s="1" t="s">
        <v>9</v>
      </c>
      <c r="H24" s="1" t="s">
        <v>9</v>
      </c>
    </row>
    <row r="25" spans="1:8" x14ac:dyDescent="0.2">
      <c r="A25">
        <v>1</v>
      </c>
      <c r="B25" s="1" t="s">
        <v>20</v>
      </c>
      <c r="C25" s="1">
        <v>4860477.05</v>
      </c>
      <c r="D25" s="1">
        <v>4093808.74</v>
      </c>
      <c r="E25" s="1">
        <v>340233.4</v>
      </c>
      <c r="F25" s="1">
        <v>4795670.7</v>
      </c>
      <c r="G25" s="1">
        <v>145814.31</v>
      </c>
      <c r="H25" s="1">
        <v>4649856.3899999997</v>
      </c>
    </row>
    <row r="26" spans="1:8" x14ac:dyDescent="0.2">
      <c r="A26">
        <v>2</v>
      </c>
      <c r="B26" s="1" t="s">
        <v>21</v>
      </c>
      <c r="C26" s="1">
        <v>1618086.23</v>
      </c>
      <c r="D26" s="1">
        <v>80904.31</v>
      </c>
      <c r="E26" s="1">
        <v>113266.04</v>
      </c>
      <c r="F26" s="1">
        <v>1650447.96</v>
      </c>
      <c r="G26" s="1">
        <v>48542.59</v>
      </c>
      <c r="H26" s="1">
        <v>1601905.37</v>
      </c>
    </row>
    <row r="27" spans="1:8" x14ac:dyDescent="0.2">
      <c r="A27">
        <v>3</v>
      </c>
      <c r="B27" s="1" t="s">
        <v>22</v>
      </c>
      <c r="C27" s="1">
        <v>1168798.3999999999</v>
      </c>
      <c r="D27" s="1">
        <v>58439.92</v>
      </c>
      <c r="E27" s="1">
        <v>81815.89</v>
      </c>
      <c r="F27" s="1">
        <v>1192174.3700000001</v>
      </c>
      <c r="G27" s="1">
        <v>35063.949999999997</v>
      </c>
      <c r="H27" s="1">
        <v>1157110.42</v>
      </c>
    </row>
    <row r="28" spans="1:8" x14ac:dyDescent="0.2">
      <c r="A28" t="s">
        <v>58</v>
      </c>
      <c r="B28" s="1" t="s">
        <v>9</v>
      </c>
      <c r="D28" s="1" t="s">
        <v>9</v>
      </c>
      <c r="E28" s="1" t="s">
        <v>9</v>
      </c>
      <c r="F28" s="1">
        <v>0</v>
      </c>
      <c r="G28" s="1" t="s">
        <v>9</v>
      </c>
      <c r="H28" s="1">
        <f>SUM(H25:H27)</f>
        <v>7408872.1799999997</v>
      </c>
    </row>
    <row r="29" spans="1:8" x14ac:dyDescent="0.2">
      <c r="A29" t="s">
        <v>61</v>
      </c>
      <c r="H29" s="1">
        <v>4649856.3899999997</v>
      </c>
    </row>
    <row r="30" spans="1:8" ht="15.75" thickBot="1" x14ac:dyDescent="0.25">
      <c r="A30" t="s">
        <v>7</v>
      </c>
      <c r="H30" s="2">
        <f>H28-H29</f>
        <v>2759015.79</v>
      </c>
    </row>
    <row r="31" spans="1:8" ht="15.75" thickTop="1" x14ac:dyDescent="0.2"/>
    <row r="32" spans="1:8" x14ac:dyDescent="0.2">
      <c r="A32" t="s">
        <v>51</v>
      </c>
      <c r="B32" s="1" t="s">
        <v>23</v>
      </c>
      <c r="C32" s="1" t="s">
        <v>9</v>
      </c>
      <c r="D32" s="1" t="s">
        <v>9</v>
      </c>
      <c r="E32" s="1" t="s">
        <v>9</v>
      </c>
      <c r="F32" s="1" t="s">
        <v>9</v>
      </c>
      <c r="G32" s="1" t="s">
        <v>9</v>
      </c>
      <c r="H32" s="1" t="s">
        <v>9</v>
      </c>
    </row>
    <row r="33" spans="1:8" x14ac:dyDescent="0.2">
      <c r="A33">
        <v>1</v>
      </c>
      <c r="B33" s="1" t="s">
        <v>24</v>
      </c>
      <c r="C33" s="1">
        <v>3463702.63</v>
      </c>
      <c r="D33" s="1">
        <v>2117838.17</v>
      </c>
      <c r="E33" s="1">
        <v>242459.18</v>
      </c>
      <c r="F33" s="1">
        <v>3501496.64</v>
      </c>
      <c r="G33" s="1">
        <v>103911.07</v>
      </c>
      <c r="H33" s="1">
        <v>3397585.57</v>
      </c>
    </row>
    <row r="34" spans="1:8" x14ac:dyDescent="0.2">
      <c r="A34">
        <v>2</v>
      </c>
      <c r="B34" s="1" t="s">
        <v>25</v>
      </c>
      <c r="C34" s="1">
        <v>1103352.9099999999</v>
      </c>
      <c r="D34" s="1">
        <v>805000</v>
      </c>
      <c r="E34" s="1">
        <v>77234.7</v>
      </c>
      <c r="F34" s="1">
        <v>1115684.5</v>
      </c>
      <c r="G34" s="1">
        <v>33100.589999999997</v>
      </c>
      <c r="H34" s="1">
        <v>1082583.9099999999</v>
      </c>
    </row>
    <row r="35" spans="1:8" x14ac:dyDescent="0.2">
      <c r="A35">
        <v>3</v>
      </c>
      <c r="B35" s="1" t="s">
        <v>26</v>
      </c>
      <c r="C35" s="1">
        <v>19561.73</v>
      </c>
      <c r="D35" s="1">
        <v>19561.73</v>
      </c>
      <c r="E35" s="1">
        <v>1369.32</v>
      </c>
      <c r="F35" s="1">
        <v>19952.96</v>
      </c>
      <c r="G35" s="1">
        <v>586.85</v>
      </c>
      <c r="H35" s="1">
        <v>19366.11</v>
      </c>
    </row>
    <row r="36" spans="1:8" x14ac:dyDescent="0.2">
      <c r="A36">
        <v>4</v>
      </c>
      <c r="B36" s="1" t="s">
        <v>27</v>
      </c>
      <c r="C36" s="1">
        <v>300527.82</v>
      </c>
      <c r="D36" s="1">
        <v>68513.61</v>
      </c>
      <c r="E36" s="1">
        <v>21036.95</v>
      </c>
      <c r="F36" s="1">
        <v>306538.38</v>
      </c>
      <c r="G36" s="1">
        <v>9015.84</v>
      </c>
      <c r="H36" s="1">
        <v>297522.53999999998</v>
      </c>
    </row>
    <row r="37" spans="1:8" x14ac:dyDescent="0.2">
      <c r="A37">
        <v>5</v>
      </c>
      <c r="B37" s="1" t="s">
        <v>28</v>
      </c>
      <c r="C37" s="1">
        <v>276638.25</v>
      </c>
      <c r="D37" s="1">
        <v>17890.55</v>
      </c>
      <c r="E37" s="1">
        <v>19364.68</v>
      </c>
      <c r="F37" s="1">
        <v>282171.02</v>
      </c>
      <c r="G37" s="1">
        <v>8299.15</v>
      </c>
      <c r="H37" s="1">
        <v>273871.87</v>
      </c>
    </row>
    <row r="38" spans="1:8" x14ac:dyDescent="0.2">
      <c r="A38">
        <v>6</v>
      </c>
      <c r="B38" s="1" t="s">
        <v>29</v>
      </c>
      <c r="C38" s="1">
        <v>-118260.73</v>
      </c>
      <c r="D38" s="1">
        <v>16765.61</v>
      </c>
      <c r="E38" s="1">
        <v>-8278.25</v>
      </c>
      <c r="F38" s="1">
        <v>-120625.94</v>
      </c>
      <c r="G38" s="1">
        <v>-3547.82</v>
      </c>
      <c r="H38" s="1">
        <v>-117078.12</v>
      </c>
    </row>
    <row r="39" spans="1:8" x14ac:dyDescent="0.2">
      <c r="A39" t="s">
        <v>58</v>
      </c>
      <c r="B39" s="1" t="s">
        <v>9</v>
      </c>
      <c r="D39" s="1" t="s">
        <v>9</v>
      </c>
      <c r="E39" s="1" t="s">
        <v>9</v>
      </c>
      <c r="F39" s="1">
        <v>0</v>
      </c>
      <c r="G39" s="1" t="s">
        <v>9</v>
      </c>
      <c r="H39" s="1">
        <f>SUM(H33:H38)</f>
        <v>4953851.88</v>
      </c>
    </row>
    <row r="40" spans="1:8" x14ac:dyDescent="0.2">
      <c r="A40" t="s">
        <v>61</v>
      </c>
      <c r="H40" s="1">
        <v>3500581.34</v>
      </c>
    </row>
    <row r="41" spans="1:8" ht="15.75" thickBot="1" x14ac:dyDescent="0.25">
      <c r="A41" t="s">
        <v>7</v>
      </c>
      <c r="H41" s="2">
        <f>H39-H40</f>
        <v>1453270.54</v>
      </c>
    </row>
    <row r="42" spans="1:8" ht="15.75" thickTop="1" x14ac:dyDescent="0.2"/>
    <row r="43" spans="1:8" x14ac:dyDescent="0.2">
      <c r="A43" t="s">
        <v>52</v>
      </c>
      <c r="B43" s="1" t="s">
        <v>30</v>
      </c>
      <c r="C43" s="1" t="s">
        <v>9</v>
      </c>
      <c r="D43" s="1" t="s">
        <v>9</v>
      </c>
      <c r="E43" s="1" t="s">
        <v>9</v>
      </c>
      <c r="F43" s="1" t="s">
        <v>9</v>
      </c>
      <c r="G43" s="1" t="s">
        <v>9</v>
      </c>
      <c r="H43" s="1" t="s">
        <v>9</v>
      </c>
    </row>
    <row r="44" spans="1:8" x14ac:dyDescent="0.2">
      <c r="A44">
        <v>1</v>
      </c>
      <c r="B44" s="1" t="s">
        <v>31</v>
      </c>
      <c r="C44" s="1">
        <v>210548.5</v>
      </c>
      <c r="D44" s="1">
        <v>0</v>
      </c>
      <c r="E44" s="1">
        <v>14738.4</v>
      </c>
      <c r="F44" s="1">
        <v>225286.9</v>
      </c>
      <c r="G44" s="1">
        <v>0</v>
      </c>
      <c r="H44" s="1">
        <v>225286.9</v>
      </c>
    </row>
    <row r="45" spans="1:8" x14ac:dyDescent="0.2">
      <c r="A45">
        <v>2</v>
      </c>
      <c r="B45" s="1" t="s">
        <v>32</v>
      </c>
      <c r="C45" s="1">
        <v>6000</v>
      </c>
      <c r="D45" s="1">
        <v>0</v>
      </c>
      <c r="E45" s="1">
        <v>420</v>
      </c>
      <c r="F45" s="1">
        <v>6420</v>
      </c>
      <c r="G45" s="1">
        <v>180</v>
      </c>
      <c r="H45" s="1">
        <v>6240</v>
      </c>
    </row>
    <row r="46" spans="1:8" x14ac:dyDescent="0.2">
      <c r="A46" t="s">
        <v>58</v>
      </c>
      <c r="B46" s="1" t="s">
        <v>9</v>
      </c>
      <c r="D46" s="1" t="s">
        <v>9</v>
      </c>
      <c r="E46" s="1" t="s">
        <v>9</v>
      </c>
      <c r="F46" s="1">
        <v>0</v>
      </c>
      <c r="G46" s="1" t="s">
        <v>9</v>
      </c>
      <c r="H46" s="1">
        <f>SUM(H44:H45)</f>
        <v>231526.9</v>
      </c>
    </row>
    <row r="47" spans="1:8" x14ac:dyDescent="0.2">
      <c r="A47" t="s">
        <v>61</v>
      </c>
      <c r="H47" s="1">
        <v>6420</v>
      </c>
    </row>
    <row r="48" spans="1:8" ht="15.75" thickBot="1" x14ac:dyDescent="0.25">
      <c r="A48" t="s">
        <v>7</v>
      </c>
      <c r="H48" s="2">
        <f>H46-H47</f>
        <v>225106.9</v>
      </c>
    </row>
    <row r="49" spans="1:8" ht="15.75" thickTop="1" x14ac:dyDescent="0.2"/>
    <row r="50" spans="1:8" x14ac:dyDescent="0.2">
      <c r="A50" t="s">
        <v>53</v>
      </c>
      <c r="B50" s="1" t="s">
        <v>33</v>
      </c>
      <c r="C50" s="1" t="s">
        <v>9</v>
      </c>
      <c r="D50" s="1" t="s">
        <v>9</v>
      </c>
      <c r="E50" s="1" t="s">
        <v>9</v>
      </c>
      <c r="F50" s="1" t="s">
        <v>9</v>
      </c>
      <c r="G50" s="1" t="s">
        <v>9</v>
      </c>
      <c r="H50" s="1" t="s">
        <v>9</v>
      </c>
    </row>
    <row r="51" spans="1:8" x14ac:dyDescent="0.2">
      <c r="A51">
        <v>1</v>
      </c>
      <c r="B51" s="1" t="s">
        <v>34</v>
      </c>
      <c r="C51" s="1">
        <v>87000</v>
      </c>
      <c r="D51" s="1">
        <v>0</v>
      </c>
      <c r="E51" s="1">
        <v>6090</v>
      </c>
      <c r="F51" s="1">
        <v>93090</v>
      </c>
      <c r="G51" s="1">
        <v>0</v>
      </c>
      <c r="H51" s="1">
        <v>93090</v>
      </c>
    </row>
    <row r="52" spans="1:8" x14ac:dyDescent="0.2">
      <c r="A52" t="s">
        <v>58</v>
      </c>
      <c r="B52" s="1" t="s">
        <v>9</v>
      </c>
      <c r="D52" s="1" t="s">
        <v>9</v>
      </c>
      <c r="E52" s="1" t="s">
        <v>9</v>
      </c>
      <c r="F52" s="1">
        <v>0</v>
      </c>
      <c r="G52" s="1" t="s">
        <v>9</v>
      </c>
      <c r="H52" s="1">
        <f>SUM(H50:H51)</f>
        <v>93090</v>
      </c>
    </row>
    <row r="53" spans="1:8" x14ac:dyDescent="0.2">
      <c r="A53" t="s">
        <v>61</v>
      </c>
      <c r="H53" s="1">
        <v>93090</v>
      </c>
    </row>
    <row r="54" spans="1:8" ht="15.75" thickBot="1" x14ac:dyDescent="0.25">
      <c r="A54" t="s">
        <v>7</v>
      </c>
      <c r="H54" s="2">
        <f>H52-H53</f>
        <v>0</v>
      </c>
    </row>
    <row r="55" spans="1:8" ht="15.75" thickTop="1" x14ac:dyDescent="0.2"/>
    <row r="56" spans="1:8" x14ac:dyDescent="0.2">
      <c r="A56" t="s">
        <v>54</v>
      </c>
      <c r="B56" s="1" t="s">
        <v>33</v>
      </c>
      <c r="C56" s="1" t="s">
        <v>9</v>
      </c>
      <c r="D56" s="1" t="s">
        <v>9</v>
      </c>
      <c r="E56" s="1" t="s">
        <v>9</v>
      </c>
      <c r="F56" s="1" t="s">
        <v>9</v>
      </c>
      <c r="G56" s="1" t="s">
        <v>9</v>
      </c>
      <c r="H56" s="1" t="s">
        <v>9</v>
      </c>
    </row>
    <row r="57" spans="1:8" x14ac:dyDescent="0.2">
      <c r="A57">
        <v>1</v>
      </c>
      <c r="B57" s="1" t="s">
        <v>35</v>
      </c>
      <c r="C57" s="1">
        <v>27500</v>
      </c>
      <c r="D57" s="1">
        <v>0</v>
      </c>
      <c r="E57" s="1">
        <v>1925</v>
      </c>
      <c r="F57" s="1">
        <v>29425</v>
      </c>
      <c r="G57" s="1">
        <v>825</v>
      </c>
      <c r="H57" s="1">
        <v>28600</v>
      </c>
    </row>
    <row r="58" spans="1:8" x14ac:dyDescent="0.2">
      <c r="A58" t="s">
        <v>58</v>
      </c>
      <c r="B58" s="1" t="s">
        <v>9</v>
      </c>
      <c r="D58" s="1" t="s">
        <v>9</v>
      </c>
      <c r="E58" s="1" t="s">
        <v>9</v>
      </c>
      <c r="F58" s="1">
        <v>0</v>
      </c>
      <c r="G58" s="1" t="s">
        <v>9</v>
      </c>
      <c r="H58" s="1">
        <f>SUM(H56:H57)</f>
        <v>28600</v>
      </c>
    </row>
    <row r="59" spans="1:8" x14ac:dyDescent="0.2">
      <c r="A59" t="s">
        <v>61</v>
      </c>
      <c r="H59" s="1">
        <v>29425</v>
      </c>
    </row>
    <row r="60" spans="1:8" ht="15.75" thickBot="1" x14ac:dyDescent="0.25">
      <c r="A60" t="s">
        <v>7</v>
      </c>
      <c r="H60" s="2">
        <f>H58-H59</f>
        <v>-825</v>
      </c>
    </row>
    <row r="61" spans="1:8" ht="15.75" thickTop="1" x14ac:dyDescent="0.2"/>
    <row r="62" spans="1:8" x14ac:dyDescent="0.2">
      <c r="A62" t="s">
        <v>55</v>
      </c>
      <c r="B62" s="1" t="s">
        <v>30</v>
      </c>
      <c r="C62" s="1" t="s">
        <v>9</v>
      </c>
      <c r="D62" s="1" t="s">
        <v>9</v>
      </c>
      <c r="E62" s="1" t="s">
        <v>9</v>
      </c>
      <c r="F62" s="1" t="s">
        <v>9</v>
      </c>
      <c r="G62" s="1" t="s">
        <v>9</v>
      </c>
      <c r="H62" s="1" t="s">
        <v>9</v>
      </c>
    </row>
    <row r="63" spans="1:8" x14ac:dyDescent="0.2">
      <c r="A63">
        <v>1</v>
      </c>
      <c r="B63" s="1" t="s">
        <v>36</v>
      </c>
      <c r="C63" s="1">
        <v>429000</v>
      </c>
      <c r="D63" s="1">
        <v>0</v>
      </c>
      <c r="E63" s="1">
        <v>30030</v>
      </c>
      <c r="F63" s="1">
        <v>459030</v>
      </c>
      <c r="G63" s="1">
        <v>12870</v>
      </c>
      <c r="H63" s="1">
        <v>446160</v>
      </c>
    </row>
    <row r="64" spans="1:8" x14ac:dyDescent="0.2">
      <c r="A64">
        <v>2</v>
      </c>
      <c r="B64" s="1" t="s">
        <v>37</v>
      </c>
      <c r="C64" s="1">
        <v>13000</v>
      </c>
      <c r="D64" s="1">
        <v>0</v>
      </c>
      <c r="E64" s="1">
        <v>910</v>
      </c>
      <c r="F64" s="1">
        <v>13910</v>
      </c>
      <c r="G64" s="1">
        <v>390</v>
      </c>
      <c r="H64" s="1">
        <v>13520</v>
      </c>
    </row>
    <row r="65" spans="1:8" x14ac:dyDescent="0.2">
      <c r="A65" t="s">
        <v>58</v>
      </c>
      <c r="B65" s="1" t="s">
        <v>9</v>
      </c>
      <c r="D65" s="1" t="s">
        <v>9</v>
      </c>
      <c r="E65" s="1" t="s">
        <v>9</v>
      </c>
      <c r="F65" s="1">
        <v>0</v>
      </c>
      <c r="G65" s="1" t="s">
        <v>9</v>
      </c>
      <c r="H65" s="1">
        <f>SUM(H63:H64)</f>
        <v>459680</v>
      </c>
    </row>
    <row r="66" spans="1:8" x14ac:dyDescent="0.2">
      <c r="A66" t="s">
        <v>61</v>
      </c>
      <c r="H66" s="1">
        <v>472940</v>
      </c>
    </row>
    <row r="67" spans="1:8" ht="15.75" thickBot="1" x14ac:dyDescent="0.25">
      <c r="A67" t="s">
        <v>7</v>
      </c>
      <c r="H67" s="2">
        <f>H65-H66</f>
        <v>-13260</v>
      </c>
    </row>
    <row r="68" spans="1:8" ht="15.75" thickTop="1" x14ac:dyDescent="0.2"/>
    <row r="69" spans="1:8" x14ac:dyDescent="0.2">
      <c r="A69" t="s">
        <v>56</v>
      </c>
      <c r="B69" s="1" t="s">
        <v>33</v>
      </c>
      <c r="C69" s="1" t="s">
        <v>9</v>
      </c>
      <c r="D69" s="1" t="s">
        <v>9</v>
      </c>
      <c r="E69" s="1" t="s">
        <v>9</v>
      </c>
      <c r="F69" s="1" t="s">
        <v>9</v>
      </c>
      <c r="G69" s="1" t="s">
        <v>9</v>
      </c>
      <c r="H69" s="1" t="s">
        <v>9</v>
      </c>
    </row>
    <row r="70" spans="1:8" x14ac:dyDescent="0.2">
      <c r="A70">
        <v>1</v>
      </c>
      <c r="B70" s="1" t="s">
        <v>38</v>
      </c>
      <c r="C70" s="1">
        <v>1013265.56</v>
      </c>
      <c r="D70" s="1">
        <v>0</v>
      </c>
      <c r="E70" s="1">
        <v>70928.59</v>
      </c>
      <c r="F70" s="1">
        <v>1084194.1499999999</v>
      </c>
      <c r="G70" s="1">
        <v>0</v>
      </c>
      <c r="H70" s="1">
        <v>1084194.1499999999</v>
      </c>
    </row>
    <row r="71" spans="1:8" x14ac:dyDescent="0.2">
      <c r="A71" t="s">
        <v>58</v>
      </c>
      <c r="B71" s="1" t="s">
        <v>9</v>
      </c>
      <c r="D71" s="1" t="s">
        <v>9</v>
      </c>
      <c r="E71" s="1" t="s">
        <v>9</v>
      </c>
      <c r="F71" s="1">
        <v>0</v>
      </c>
      <c r="G71" s="1" t="s">
        <v>9</v>
      </c>
      <c r="H71" s="1">
        <f>SUM(H69:H70)</f>
        <v>1084194.1499999999</v>
      </c>
    </row>
    <row r="72" spans="1:8" x14ac:dyDescent="0.2">
      <c r="A72" t="s">
        <v>61</v>
      </c>
      <c r="H72" s="1">
        <v>1084194.1499999999</v>
      </c>
    </row>
    <row r="73" spans="1:8" ht="15.75" thickBot="1" x14ac:dyDescent="0.25">
      <c r="A73" t="s">
        <v>7</v>
      </c>
      <c r="H73" s="2">
        <f>H71-H72</f>
        <v>0</v>
      </c>
    </row>
    <row r="74" spans="1:8" ht="15.75" thickTop="1" x14ac:dyDescent="0.2"/>
    <row r="75" spans="1:8" x14ac:dyDescent="0.2">
      <c r="A75" t="s">
        <v>57</v>
      </c>
      <c r="B75" s="1" t="s">
        <v>33</v>
      </c>
      <c r="C75" s="1" t="s">
        <v>9</v>
      </c>
      <c r="D75" s="1" t="s">
        <v>9</v>
      </c>
      <c r="E75" s="1" t="s">
        <v>9</v>
      </c>
      <c r="F75" s="1" t="s">
        <v>9</v>
      </c>
      <c r="G75" s="1" t="s">
        <v>9</v>
      </c>
      <c r="H75" s="1" t="s">
        <v>9</v>
      </c>
    </row>
    <row r="76" spans="1:8" x14ac:dyDescent="0.2">
      <c r="A76">
        <v>1</v>
      </c>
      <c r="B76" s="1" t="s">
        <v>39</v>
      </c>
      <c r="C76" s="1">
        <v>35550</v>
      </c>
      <c r="D76" s="1">
        <v>0</v>
      </c>
      <c r="E76" s="1">
        <v>2488.5</v>
      </c>
      <c r="F76" s="1">
        <v>38038.5</v>
      </c>
      <c r="G76" s="1">
        <v>1066.5</v>
      </c>
      <c r="H76" s="1">
        <v>36972</v>
      </c>
    </row>
    <row r="77" spans="1:8" x14ac:dyDescent="0.2">
      <c r="A77" t="s">
        <v>58</v>
      </c>
      <c r="B77" s="1" t="s">
        <v>9</v>
      </c>
      <c r="D77" s="1" t="s">
        <v>9</v>
      </c>
      <c r="E77" s="1" t="s">
        <v>9</v>
      </c>
      <c r="F77" s="1">
        <v>0</v>
      </c>
      <c r="G77" s="1" t="s">
        <v>9</v>
      </c>
      <c r="H77" s="1">
        <f>SUM(H75:H76)</f>
        <v>36972</v>
      </c>
    </row>
    <row r="78" spans="1:8" x14ac:dyDescent="0.2">
      <c r="A78" t="s">
        <v>61</v>
      </c>
      <c r="H78" s="1">
        <v>0</v>
      </c>
    </row>
    <row r="79" spans="1:8" ht="15.75" thickBot="1" x14ac:dyDescent="0.25">
      <c r="A79" t="s">
        <v>7</v>
      </c>
      <c r="H79" s="2">
        <f>H77-H78</f>
        <v>36972</v>
      </c>
    </row>
    <row r="80" spans="1:8" ht="15.75" thickTop="1" x14ac:dyDescent="0.2"/>
  </sheetData>
  <pageMargins left="0.7" right="0.7" top="0.75" bottom="0.75" header="0.3" footer="0.3"/>
  <pageSetup paperSize="9" orientation="portrait" r:id="rId1"/>
  <ignoredErrors>
    <ignoredError sqref="A13:H13 B10 A23:H23 A9:B9 B6:H6 A19:B19 B14:H14 A27:B27 B24:H24 A38:B38 B32:H32 A45:B45 B43:H43 A51:B51 B50:H50 A57:B57 B56:H56 A64:B64 B62:H62 A70:B70 B69:H69 A76:B76 B75:H75 A74:H74 A80:H80 A3 A2 A7:B7 A8:B8 D10:E10 G10 A15:B15 A16:B16 A17:B17 A18:B18 A25:B25 A26:B26 A33:B33 A34:B34 A35:B35 A36:B36 A37:B37 A44:B44 A63:B6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4"/>
  <sheetViews>
    <sheetView tabSelected="1" workbookViewId="0">
      <selection activeCell="B45" sqref="B45"/>
    </sheetView>
  </sheetViews>
  <sheetFormatPr defaultRowHeight="15" x14ac:dyDescent="0.2"/>
  <cols>
    <col min="1" max="1" width="35" customWidth="1"/>
    <col min="2" max="2" width="25.77734375" customWidth="1"/>
    <col min="3" max="3" width="15.77734375" style="1" customWidth="1"/>
  </cols>
  <sheetData>
    <row r="1" spans="1:3" x14ac:dyDescent="0.2">
      <c r="A1" t="s">
        <v>40</v>
      </c>
      <c r="C1" t="s">
        <v>41</v>
      </c>
    </row>
    <row r="2" spans="1:3" ht="15.75" thickBot="1" x14ac:dyDescent="0.25">
      <c r="C2" s="4">
        <v>14382892.41</v>
      </c>
    </row>
    <row r="3" spans="1:3" ht="15.75" thickTop="1" x14ac:dyDescent="0.2">
      <c r="A3" t="s">
        <v>9</v>
      </c>
      <c r="C3" s="1" t="s">
        <v>9</v>
      </c>
    </row>
    <row r="4" spans="1:3" x14ac:dyDescent="0.2">
      <c r="B4" t="s">
        <v>0</v>
      </c>
      <c r="C4" s="1" t="s">
        <v>2</v>
      </c>
    </row>
    <row r="5" spans="1:3" x14ac:dyDescent="0.2">
      <c r="A5" t="s">
        <v>48</v>
      </c>
      <c r="B5" t="s">
        <v>42</v>
      </c>
      <c r="C5" s="1" t="s">
        <v>9</v>
      </c>
    </row>
    <row r="6" spans="1:3" x14ac:dyDescent="0.2">
      <c r="A6">
        <v>1</v>
      </c>
      <c r="B6" t="s">
        <v>11</v>
      </c>
      <c r="C6" s="1">
        <v>2614947</v>
      </c>
    </row>
    <row r="7" spans="1:3" x14ac:dyDescent="0.2">
      <c r="A7">
        <v>2</v>
      </c>
      <c r="B7" t="s">
        <v>12</v>
      </c>
      <c r="C7" s="1">
        <v>2565411.65</v>
      </c>
    </row>
    <row r="8" spans="1:3" x14ac:dyDescent="0.2">
      <c r="A8">
        <v>3</v>
      </c>
      <c r="B8" t="s">
        <v>13</v>
      </c>
      <c r="C8" s="1">
        <v>662478.02</v>
      </c>
    </row>
    <row r="9" spans="1:3" ht="15.75" thickBot="1" x14ac:dyDescent="0.25">
      <c r="A9" t="s">
        <v>47</v>
      </c>
      <c r="B9" t="s">
        <v>9</v>
      </c>
      <c r="C9" s="3">
        <f>SUM(C6:C8)</f>
        <v>5842836.6699999999</v>
      </c>
    </row>
    <row r="10" spans="1:3" ht="15.75" thickTop="1" x14ac:dyDescent="0.2"/>
    <row r="11" spans="1:3" x14ac:dyDescent="0.2">
      <c r="A11" t="s">
        <v>49</v>
      </c>
      <c r="B11" t="s">
        <v>43</v>
      </c>
      <c r="C11" s="1" t="s">
        <v>9</v>
      </c>
    </row>
    <row r="12" spans="1:3" x14ac:dyDescent="0.2">
      <c r="A12">
        <v>1</v>
      </c>
      <c r="B12" t="s">
        <v>15</v>
      </c>
      <c r="C12" s="1">
        <v>977714.11</v>
      </c>
    </row>
    <row r="13" spans="1:3" x14ac:dyDescent="0.2">
      <c r="A13">
        <v>2</v>
      </c>
      <c r="B13" t="s">
        <v>16</v>
      </c>
      <c r="C13" s="1">
        <v>123300</v>
      </c>
    </row>
    <row r="14" spans="1:3" ht="15.75" thickBot="1" x14ac:dyDescent="0.25">
      <c r="A14" t="s">
        <v>47</v>
      </c>
      <c r="B14" t="s">
        <v>9</v>
      </c>
      <c r="C14" s="3">
        <f>SUM(C12:C13)</f>
        <v>1101014.1099999999</v>
      </c>
    </row>
    <row r="15" spans="1:3" ht="15.75" thickTop="1" x14ac:dyDescent="0.2"/>
    <row r="16" spans="1:3" x14ac:dyDescent="0.2">
      <c r="A16" t="s">
        <v>50</v>
      </c>
      <c r="B16" t="s">
        <v>42</v>
      </c>
      <c r="C16" s="1" t="s">
        <v>9</v>
      </c>
    </row>
    <row r="17" spans="1:3" x14ac:dyDescent="0.2">
      <c r="A17">
        <v>1</v>
      </c>
      <c r="B17" t="s">
        <v>20</v>
      </c>
      <c r="C17" s="1">
        <v>4093808.74</v>
      </c>
    </row>
    <row r="18" spans="1:3" x14ac:dyDescent="0.2">
      <c r="A18">
        <v>2</v>
      </c>
      <c r="B18" t="s">
        <v>21</v>
      </c>
      <c r="C18" s="1">
        <v>80904.31</v>
      </c>
    </row>
    <row r="19" spans="1:3" x14ac:dyDescent="0.2">
      <c r="A19">
        <v>3</v>
      </c>
      <c r="B19" t="s">
        <v>22</v>
      </c>
      <c r="C19" s="1">
        <v>58439.92</v>
      </c>
    </row>
    <row r="20" spans="1:3" ht="15.75" thickBot="1" x14ac:dyDescent="0.25">
      <c r="A20" t="s">
        <v>47</v>
      </c>
      <c r="B20" t="s">
        <v>9</v>
      </c>
      <c r="C20" s="3">
        <f>SUM(C17:C19)</f>
        <v>4233152.9700000007</v>
      </c>
    </row>
    <row r="21" spans="1:3" ht="15.75" thickTop="1" x14ac:dyDescent="0.2"/>
    <row r="22" spans="1:3" x14ac:dyDescent="0.2">
      <c r="A22" t="s">
        <v>51</v>
      </c>
      <c r="B22" t="s">
        <v>44</v>
      </c>
      <c r="C22" s="1" t="s">
        <v>9</v>
      </c>
    </row>
    <row r="23" spans="1:3" x14ac:dyDescent="0.2">
      <c r="A23">
        <v>1</v>
      </c>
      <c r="B23" t="s">
        <v>24</v>
      </c>
      <c r="C23" s="1">
        <v>2117838.17</v>
      </c>
    </row>
    <row r="24" spans="1:3" x14ac:dyDescent="0.2">
      <c r="A24">
        <v>2</v>
      </c>
      <c r="B24" t="s">
        <v>25</v>
      </c>
      <c r="C24" s="1">
        <v>805000</v>
      </c>
    </row>
    <row r="25" spans="1:3" x14ac:dyDescent="0.2">
      <c r="A25">
        <v>3</v>
      </c>
      <c r="B25" t="s">
        <v>26</v>
      </c>
      <c r="C25" s="1">
        <v>19561.73</v>
      </c>
    </row>
    <row r="26" spans="1:3" x14ac:dyDescent="0.2">
      <c r="A26">
        <v>4</v>
      </c>
      <c r="B26" t="s">
        <v>27</v>
      </c>
      <c r="C26" s="1">
        <v>68513.61</v>
      </c>
    </row>
    <row r="27" spans="1:3" x14ac:dyDescent="0.2">
      <c r="A27">
        <v>5</v>
      </c>
      <c r="B27" t="s">
        <v>28</v>
      </c>
      <c r="C27" s="1">
        <v>17890.55</v>
      </c>
    </row>
    <row r="28" spans="1:3" x14ac:dyDescent="0.2">
      <c r="A28">
        <v>6</v>
      </c>
      <c r="B28" t="s">
        <v>29</v>
      </c>
      <c r="C28" s="1">
        <v>16765.61</v>
      </c>
    </row>
    <row r="29" spans="1:3" ht="15.75" thickBot="1" x14ac:dyDescent="0.25">
      <c r="A29" t="s">
        <v>47</v>
      </c>
      <c r="B29" t="s">
        <v>9</v>
      </c>
      <c r="C29" s="3">
        <f>SUM(C23:C28)</f>
        <v>3045569.6699999995</v>
      </c>
    </row>
    <row r="30" spans="1:3" ht="15.75" thickTop="1" x14ac:dyDescent="0.2"/>
    <row r="31" spans="1:3" x14ac:dyDescent="0.2">
      <c r="A31" t="s">
        <v>62</v>
      </c>
      <c r="B31" t="s">
        <v>45</v>
      </c>
      <c r="C31" s="1" t="s">
        <v>9</v>
      </c>
    </row>
    <row r="32" spans="1:3" x14ac:dyDescent="0.2">
      <c r="A32">
        <v>1</v>
      </c>
      <c r="B32" t="s">
        <v>46</v>
      </c>
      <c r="C32" s="1">
        <v>160318.99</v>
      </c>
    </row>
    <row r="33" spans="1:3" ht="15.75" thickBot="1" x14ac:dyDescent="0.25">
      <c r="A33" t="s">
        <v>47</v>
      </c>
      <c r="B33" t="s">
        <v>9</v>
      </c>
      <c r="C33" s="3">
        <f>SUM(C32)</f>
        <v>160318.99</v>
      </c>
    </row>
    <row r="34" spans="1:3" ht="15.75" thickTop="1" x14ac:dyDescent="0.2"/>
  </sheetData>
  <pageMargins left="0.7" right="0.7" top="0.75" bottom="0.75" header="0.3" footer="0.3"/>
  <pageSetup paperSize="9" orientation="portrait" r:id="rId1"/>
  <ignoredErrors>
    <ignoredError sqref="A6:B8 B5 A12:B13 B11 A10:B10 B9 C10:C11 A4 A3 C15:C16 C21:C22 C30:C31 C34 A15:B15 B14 A21:B21 B20 A30:B30 B29 A34:B34 B33 A17:B19 B16 A23:B28 B22 A32:B32 B31 C5 C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19B34FAE73480943BF7178E82D42FB33" ma:contentTypeVersion="12" ma:contentTypeDescription="สร้างเอกสารใหม่" ma:contentTypeScope="" ma:versionID="68c133c1d2d6784bd9de693984f7b439">
  <xsd:schema xmlns:xsd="http://www.w3.org/2001/XMLSchema" xmlns:xs="http://www.w3.org/2001/XMLSchema" xmlns:p="http://schemas.microsoft.com/office/2006/metadata/properties" xmlns:ns2="9986669b-fefd-468c-82da-a846015310d9" xmlns:ns3="2eb14e35-6670-460b-95e8-dad5d6e4e903" targetNamespace="http://schemas.microsoft.com/office/2006/metadata/properties" ma:root="true" ma:fieldsID="8e32246f2629cfd2af2f792d6730633e" ns2:_="" ns3:_="">
    <xsd:import namespace="9986669b-fefd-468c-82da-a846015310d9"/>
    <xsd:import namespace="2eb14e35-6670-460b-95e8-dad5d6e4e9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86669b-fefd-468c-82da-a846015310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แท็กรูป" ma:readOnly="false" ma:fieldId="{5cf76f15-5ced-4ddc-b409-7134ff3c332f}" ma:taxonomyMulti="true" ma:sspId="bc9cfa0a-438a-4726-bb73-828d6e407d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b14e35-6670-460b-95e8-dad5d6e4e90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bcf2fa2-13a0-438e-8fbe-3a28f29f2557}" ma:internalName="TaxCatchAll" ma:showField="CatchAllData" ma:web="2eb14e35-6670-460b-95e8-dad5d6e4e90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eb14e35-6670-460b-95e8-dad5d6e4e903" xsi:nil="true"/>
    <lcf76f155ced4ddcb4097134ff3c332f xmlns="9986669b-fefd-468c-82da-a846015310d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173FD0-4DE6-4BDD-84A8-4B037A8472CC}"/>
</file>

<file path=customXml/itemProps2.xml><?xml version="1.0" encoding="utf-8"?>
<ds:datastoreItem xmlns:ds="http://schemas.openxmlformats.org/officeDocument/2006/customXml" ds:itemID="{565CE51C-7540-4FD5-BADD-26F85CE51464}"/>
</file>

<file path=customXml/itemProps3.xml><?xml version="1.0" encoding="utf-8"?>
<ds:datastoreItem xmlns:ds="http://schemas.openxmlformats.org/officeDocument/2006/customXml" ds:itemID="{18F8F747-4C38-4D01-B207-A1C0A501D9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Payment Received Summary</vt:lpstr>
      <vt:lpstr>Retention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Pratchaya Seela</cp:lastModifiedBy>
  <dcterms:modified xsi:type="dcterms:W3CDTF">2026-04-19T05:40:03Z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0x01010019B34FAE73480943BF7178E82D42FB33</vt:lpwstr>
  </property>
</Properties>
</file>