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mpasia.sharepoint.com/sites/atlassuperclub/Shared Documents/White/2.Superclub Project/Superclub Site Memo/Memorandum R2 043 R.4/202602 Final Payment (CMP-ASC-MEMO-043 R.3)/202602 Final Payment Documents/5.VJ Group/"/>
    </mc:Choice>
  </mc:AlternateContent>
  <xr:revisionPtr revIDLastSave="0" documentId="13_ncr:1_{AF5ED5FE-4577-4A01-95C7-6E268AB79CD5}" xr6:coauthVersionLast="47" xr6:coauthVersionMax="47" xr10:uidLastSave="{00000000-0000-0000-0000-000000000000}"/>
  <bookViews>
    <workbookView minimized="1" xWindow="11055" yWindow="345" windowWidth="26010" windowHeight="20055" xr2:uid="{6D4D6B44-A49F-484E-B397-8567017382E7}"/>
  </bookViews>
  <sheets>
    <sheet name="Sheet1" sheetId="1" r:id="rId1"/>
  </sheets>
  <definedNames>
    <definedName name="_xlnm.Print_Area" localSheetId="0">Sheet1!$A$5:$M$115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2" i="1" l="1"/>
  <c r="L98" i="1"/>
  <c r="L100" i="1" s="1"/>
  <c r="L106" i="1" s="1"/>
  <c r="L95" i="1"/>
  <c r="L94" i="1"/>
  <c r="L93" i="1"/>
  <c r="L92" i="1"/>
  <c r="L88" i="1"/>
  <c r="L87" i="1"/>
  <c r="L86" i="1"/>
  <c r="L85" i="1"/>
  <c r="L84" i="1"/>
  <c r="L83" i="1"/>
  <c r="L82" i="1"/>
  <c r="L81" i="1"/>
  <c r="L80" i="1"/>
  <c r="L79" i="1"/>
  <c r="L78" i="1"/>
  <c r="L77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53" i="1"/>
  <c r="L52" i="1"/>
  <c r="L50" i="1"/>
  <c r="L49" i="1"/>
  <c r="L48" i="1"/>
  <c r="L47" i="1"/>
  <c r="L46" i="1"/>
  <c r="L45" i="1"/>
  <c r="L44" i="1"/>
  <c r="L43" i="1"/>
  <c r="L42" i="1"/>
  <c r="L41" i="1"/>
  <c r="L40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08" i="1" l="1"/>
  <c r="A108" i="1" s="1"/>
  <c r="L107" i="1"/>
</calcChain>
</file>

<file path=xl/sharedStrings.xml><?xml version="1.0" encoding="utf-8"?>
<sst xmlns="http://schemas.openxmlformats.org/spreadsheetml/2006/main" count="323" uniqueCount="192">
  <si>
    <t>QUOTATION</t>
  </si>
  <si>
    <t>Date</t>
  </si>
  <si>
    <t>: 17/12/2025</t>
  </si>
  <si>
    <t>Our Ref No</t>
  </si>
  <si>
    <t>: 24-566 R.7.1</t>
  </si>
  <si>
    <t>Attn.</t>
  </si>
  <si>
    <t>ชุดแก้ไขตามหลังติดตั้งตาม As-Built Drawing</t>
  </si>
  <si>
    <t>C/C</t>
  </si>
  <si>
    <t>: คุณริน</t>
  </si>
  <si>
    <t>Company</t>
  </si>
  <si>
    <t>Your Ref.</t>
  </si>
  <si>
    <t>:</t>
  </si>
  <si>
    <t>Add.</t>
  </si>
  <si>
    <t xml:space="preserve">Project </t>
  </si>
  <si>
    <t>: กทม.</t>
  </si>
  <si>
    <t>E-mail</t>
  </si>
  <si>
    <t>Phone</t>
  </si>
  <si>
    <t>Fax</t>
  </si>
  <si>
    <t xml:space="preserve">:  </t>
  </si>
  <si>
    <t xml:space="preserve">In reply to your esteemed enquiry, we have pleasure in quoting you our best price s hereunder:- </t>
  </si>
  <si>
    <t>Page 1/2</t>
  </si>
  <si>
    <t xml:space="preserve"> </t>
  </si>
  <si>
    <t>Item</t>
  </si>
  <si>
    <t>Description</t>
  </si>
  <si>
    <t>Dimension (mm)</t>
  </si>
  <si>
    <t>Qty.</t>
  </si>
  <si>
    <t xml:space="preserve">Unit Price </t>
  </si>
  <si>
    <t xml:space="preserve">Amount </t>
  </si>
  <si>
    <t>W</t>
  </si>
  <si>
    <t>D</t>
  </si>
  <si>
    <t>H1</t>
  </si>
  <si>
    <t>H2</t>
  </si>
  <si>
    <t>PROJECT : HW BANGKOK (ห้วยขวาง)</t>
  </si>
  <si>
    <t>COOKING AREA</t>
  </si>
  <si>
    <t>CO-01</t>
  </si>
  <si>
    <t>S/S Undercounter Chiller 3 Doors w/ Backsplash</t>
  </si>
  <si>
    <t>850/950</t>
  </si>
  <si>
    <t>EA</t>
  </si>
  <si>
    <t xml:space="preserve"> - Back Splash </t>
  </si>
  <si>
    <t>CO-02</t>
  </si>
  <si>
    <t>S/S Single Bowl Sink w/ Backsplash</t>
  </si>
  <si>
    <t xml:space="preserve"> - Single valve</t>
  </si>
  <si>
    <t>"COTTO"</t>
  </si>
  <si>
    <t>CO-03</t>
  </si>
  <si>
    <t>S/S Grease Trap</t>
  </si>
  <si>
    <t>CO-04</t>
  </si>
  <si>
    <t>S/S Up-Right Chiller 4 Doors</t>
  </si>
  <si>
    <t>CO-05</t>
  </si>
  <si>
    <t>S/S Up-Right Freezer 4 Doors</t>
  </si>
  <si>
    <t>CO-06</t>
  </si>
  <si>
    <t>S/S Work Table w/ Undershelf w/ Backsplash</t>
  </si>
  <si>
    <t>CO-07</t>
  </si>
  <si>
    <t>S/S Single Wall Shelf</t>
  </si>
  <si>
    <t>CO-08</t>
  </si>
  <si>
    <t>S/S Double Bowl Sink  w/ Backsplash</t>
  </si>
  <si>
    <t>CO-09</t>
  </si>
  <si>
    <t>CO-10</t>
  </si>
  <si>
    <t>CO-11</t>
  </si>
  <si>
    <t>CO-12</t>
  </si>
  <si>
    <t>S/S Spreader Table w/ Undershelf</t>
  </si>
  <si>
    <t>CO-13</t>
  </si>
  <si>
    <t>S/S Wok Range 2 Burner w/ Soup Pot</t>
  </si>
  <si>
    <t>800/950</t>
  </si>
  <si>
    <t>CO-14</t>
  </si>
  <si>
    <t>CO-15</t>
  </si>
  <si>
    <t>S/S Gas Deep Fryer 20 litre</t>
  </si>
  <si>
    <t>CO-16</t>
  </si>
  <si>
    <t>S/S Stand Table For Rice Cooker</t>
  </si>
  <si>
    <t>CO-17</t>
  </si>
  <si>
    <t>Gas Rice Cooker Cap. 9 Litre</t>
  </si>
  <si>
    <t>"RINNAI#RR55A"</t>
  </si>
  <si>
    <t>CO-18</t>
  </si>
  <si>
    <t xml:space="preserve">S/S Stand Table For Grill </t>
  </si>
  <si>
    <t>Cancel Item</t>
  </si>
  <si>
    <t>-</t>
  </si>
  <si>
    <t>CO-19</t>
  </si>
  <si>
    <t>Chacoal  Grill</t>
  </si>
  <si>
    <t>CO-20</t>
  </si>
  <si>
    <t>S/S Gas Table Range 6 Burner</t>
  </si>
  <si>
    <t>CO-21</t>
  </si>
  <si>
    <t>S/S Wall Type Hood w/ Grease Filter **Exclude Fresh Air**</t>
  </si>
  <si>
    <t>ADD-02</t>
  </si>
  <si>
    <t>Fire Suppression</t>
  </si>
  <si>
    <t>CO-22</t>
  </si>
  <si>
    <t>S/S Gutter Frame w Cover</t>
  </si>
  <si>
    <t>เดิมขนาด 1200xx260 จำนวน 6 ตัว</t>
  </si>
  <si>
    <t>S/S Sump Tank W/Cover</t>
  </si>
  <si>
    <t>เพิ่มเติม</t>
  </si>
  <si>
    <t>CO-23.1</t>
  </si>
  <si>
    <t>S/S Work Table w/ Undershelf w/ Middleshelf</t>
  </si>
  <si>
    <t>เดิมขนาด 1500x750x850 จำนวน 2 ตัว</t>
  </si>
  <si>
    <t>CO-23.2</t>
  </si>
  <si>
    <t>CO-24</t>
  </si>
  <si>
    <t>S/S Double wall shelf</t>
  </si>
  <si>
    <t>CO-25</t>
  </si>
  <si>
    <t>CO-26</t>
  </si>
  <si>
    <t>Food Warmer (Infrared Strip Heater)</t>
  </si>
  <si>
    <t>CO-27</t>
  </si>
  <si>
    <t>Filler top</t>
  </si>
  <si>
    <t>เดิมเป็น S/S Hole For Service ขนาด1000x200x380</t>
  </si>
  <si>
    <t>STORAGE AREA</t>
  </si>
  <si>
    <t>SA-01</t>
  </si>
  <si>
    <t>Chest freezer Cap. 715 ltr</t>
  </si>
  <si>
    <t>SA-02</t>
  </si>
  <si>
    <t>S/S Rack Solid Shelf 4 Tiers</t>
  </si>
  <si>
    <t>Our Ref No: 24-566 R.7.1</t>
  </si>
  <si>
    <t>Page 2/2</t>
  </si>
  <si>
    <t>DISHWASHING AREA</t>
  </si>
  <si>
    <t>DW-01</t>
  </si>
  <si>
    <t>S/S Landing Dish Table w/ Scrap Hole</t>
  </si>
  <si>
    <t>850/1100</t>
  </si>
  <si>
    <t>DW-02</t>
  </si>
  <si>
    <t>S/S Landing Dish Table w/ Double Bowl Sink</t>
  </si>
  <si>
    <t xml:space="preserve"> - Pre rinse</t>
  </si>
  <si>
    <t>"T&amp;S #B-113"</t>
  </si>
  <si>
    <t xml:space="preserve"> - Mixing Valve </t>
  </si>
  <si>
    <t>"T&amp;S"</t>
  </si>
  <si>
    <t>DW-03</t>
  </si>
  <si>
    <t>DW-04</t>
  </si>
  <si>
    <t>Dishwashing Machine</t>
  </si>
  <si>
    <t>DW-05</t>
  </si>
  <si>
    <t>S/S Condensate Hood</t>
  </si>
  <si>
    <t>DW-06</t>
  </si>
  <si>
    <t>S/S Clean Dish Table w/ Cross Bracing w/ Tray Rest</t>
  </si>
  <si>
    <t>DW-07</t>
  </si>
  <si>
    <t>S/S Clean Dish Rack</t>
  </si>
  <si>
    <t>DW-08</t>
  </si>
  <si>
    <t xml:space="preserve">เดิมขนาด 1220x260 </t>
  </si>
  <si>
    <t>DW-09</t>
  </si>
  <si>
    <t>S/S Rack Grid Shelf 4 Tiers</t>
  </si>
  <si>
    <t>DW-10</t>
  </si>
  <si>
    <t>BAR</t>
  </si>
  <si>
    <t>BA-01</t>
  </si>
  <si>
    <t>Work Table 3 Drawer</t>
  </si>
  <si>
    <t xml:space="preserve"> EA </t>
  </si>
  <si>
    <t>เดิมเป็น Drip Pan cabinet</t>
  </si>
  <si>
    <t>BA-02</t>
  </si>
  <si>
    <t>S/S Double Bowl Sink w/ Cross</t>
  </si>
  <si>
    <t>BA-03</t>
  </si>
  <si>
    <t>S/S Garbage Cabinet w/1 pcs Sliding S/S Bins, Nylon Cutting Board</t>
  </si>
  <si>
    <t>BA-04</t>
  </si>
  <si>
    <t>S/S Ice Bin Cabinet w/ Jge Rincer</t>
  </si>
  <si>
    <t>BA-05</t>
  </si>
  <si>
    <t>S/S Cocktail Station Cabinet w+GN Stand + Speed rail</t>
  </si>
  <si>
    <t>เดิมขนาด 1600x600x850</t>
  </si>
  <si>
    <t>BA-06</t>
  </si>
  <si>
    <t>S/S Single Bowl Sink w/ Cross+Brasing+Jug Rincer</t>
  </si>
  <si>
    <t>BA-07</t>
  </si>
  <si>
    <t>S/S Swing Door Cabinet W/Adjustable Shelf+Lock</t>
  </si>
  <si>
    <t>BA-08</t>
  </si>
  <si>
    <t>S/S Under Counter Chiller 3 doors</t>
  </si>
  <si>
    <t>BA-09</t>
  </si>
  <si>
    <t>S/S Under Counter Freezer 3 doors</t>
  </si>
  <si>
    <t>BA-10</t>
  </si>
  <si>
    <t>ADD-01</t>
  </si>
  <si>
    <t>PREMIUM WATER</t>
  </si>
  <si>
    <t>"PUREZZAI"</t>
  </si>
  <si>
    <t>Future item</t>
  </si>
  <si>
    <t>S/S Top Filler</t>
  </si>
  <si>
    <t>Cancelled by Consultant</t>
  </si>
  <si>
    <t>เดิมจำนวน 6 ea</t>
  </si>
  <si>
    <t>ADD-03</t>
  </si>
  <si>
    <t>ADD-04</t>
  </si>
  <si>
    <t>Cancelled 2 ea ตามพื้นที่</t>
  </si>
  <si>
    <t>ADD-05</t>
  </si>
  <si>
    <t>Total</t>
  </si>
  <si>
    <t xml:space="preserve"> - LABOUR &amp; MATERIAL FOR INSTALLATION ไม่รวมงานเก็บฝ้า</t>
  </si>
  <si>
    <t>JOB</t>
  </si>
  <si>
    <t xml:space="preserve">ไม่รวมติดตั้ง SS.Gutter </t>
  </si>
  <si>
    <t xml:space="preserve">ไม่รวมงานเก็บฝ้า ลูกค้าจัดเตรียม น้ำ, ไฟ, มารอ ณ จุดติดตั้ง </t>
  </si>
  <si>
    <r>
      <rPr>
        <b/>
        <u/>
        <sz val="14"/>
        <rFont val="Browallia New"/>
        <family val="2"/>
      </rPr>
      <t>Exclude :</t>
    </r>
    <r>
      <rPr>
        <sz val="14"/>
        <rFont val="Browallia New"/>
        <family val="2"/>
      </rPr>
      <t xml:space="preserve"> Others not show in this quotation</t>
    </r>
  </si>
  <si>
    <t>Vat 7%</t>
  </si>
  <si>
    <t>Grand Total</t>
  </si>
  <si>
    <t>Delivery</t>
  </si>
  <si>
    <t>:  45-60 Days After receiving the deposit</t>
  </si>
  <si>
    <t>ตกลงสั่งซื้อตามรายการข้างต้น</t>
  </si>
  <si>
    <t>Validity</t>
  </si>
  <si>
    <t>:  15 Days</t>
  </si>
  <si>
    <t>VERY TRULY YOURS,</t>
  </si>
  <si>
    <t>Payment</t>
  </si>
  <si>
    <t>:  50% Deposit</t>
  </si>
  <si>
    <t>นาม……………..……………………………..…..(ผู้ซื้อ)</t>
  </si>
  <si>
    <t>:  40% Delivery at Site</t>
  </si>
  <si>
    <t>(CUSTOMER)</t>
  </si>
  <si>
    <t>:  10% After Finish Installation</t>
  </si>
  <si>
    <t>Prepared By :    Nipaporn</t>
  </si>
  <si>
    <t>วันที่……..../……….………./…….……</t>
  </si>
  <si>
    <t xml:space="preserve">Quote By:  Kriengkrai </t>
  </si>
  <si>
    <t>(ผู้มีอำนาจในการสั่งซื้อ / ประทับตรา)</t>
  </si>
  <si>
    <t>Project Manager</t>
  </si>
  <si>
    <t>หมายเหตุ</t>
  </si>
  <si>
    <t>Pornpairin Aeamsaree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</si>
</sst>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(* #,##0.00_);_(* \(#,##0.00\);_(* &quot;-&quot;??_);_(@_)"/>
  </numFmts>
  <fonts count="13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4"/>
      <name val="Cordia New"/>
      <family val="2"/>
    </font>
    <font>
      <sz val="14"/>
      <name val="Browallia New"/>
      <family val="2"/>
    </font>
    <font>
      <sz val="14"/>
      <color rgb="FFFF0000"/>
      <name val="Browallia New"/>
      <family val="2"/>
    </font>
    <font>
      <b/>
      <sz val="14"/>
      <name val="Browallia New"/>
      <family val="2"/>
    </font>
    <font>
      <b/>
      <sz val="14"/>
      <color rgb="FFFF0000"/>
      <name val="Browallia New"/>
      <family val="2"/>
    </font>
    <font>
      <b/>
      <u val="singleAccounting"/>
      <sz val="14"/>
      <name val="Browallia New"/>
      <family val="2"/>
    </font>
    <font>
      <b/>
      <u/>
      <sz val="14"/>
      <name val="Browallia New"/>
      <family val="2"/>
    </font>
    <font>
      <u val="singleAccounting"/>
      <sz val="14"/>
      <name val="Browallia New"/>
      <family val="2"/>
    </font>
    <font>
      <sz val="14"/>
      <color theme="1"/>
      <name val="Browallia New"/>
      <family val="2"/>
    </font>
    <font>
      <b/>
      <i/>
      <u val="singleAccounting"/>
      <sz val="14"/>
      <name val="Browallia New"/>
      <family val="2"/>
    </font>
    <font>
      <u/>
      <sz val="14"/>
      <name val="Browallia New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rgb="FF000000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9">
    <xf numFmtId="0" fontId="0" fillId="0" borderId="0"/>
    <xf numFmtId="187" fontId="1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45">
    <xf numFmtId="0" fontId="0" fillId="0" borderId="0" xfId="0"/>
    <xf numFmtId="0" fontId="3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187" fontId="3" fillId="0" borderId="0" xfId="1" applyFont="1" applyAlignment="1">
      <alignment vertical="center"/>
    </xf>
    <xf numFmtId="0" fontId="5" fillId="0" borderId="0" xfId="2" applyFont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87" fontId="4" fillId="0" borderId="0" xfId="1" applyFont="1" applyBorder="1" applyAlignment="1">
      <alignment vertical="center"/>
    </xf>
    <xf numFmtId="187" fontId="3" fillId="0" borderId="0" xfId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6" fillId="2" borderId="0" xfId="2" applyFont="1" applyFill="1" applyAlignment="1">
      <alignment vertical="center"/>
    </xf>
    <xf numFmtId="0" fontId="4" fillId="2" borderId="0" xfId="2" applyFont="1" applyFill="1" applyAlignment="1">
      <alignment vertical="center"/>
    </xf>
    <xf numFmtId="0" fontId="3" fillId="0" borderId="0" xfId="2" applyFont="1" applyAlignment="1">
      <alignment horizontal="center" vertical="center"/>
    </xf>
    <xf numFmtId="0" fontId="3" fillId="0" borderId="0" xfId="0" applyFont="1" applyAlignment="1">
      <alignment vertical="center"/>
    </xf>
    <xf numFmtId="187" fontId="7" fillId="0" borderId="0" xfId="1" applyFont="1" applyBorder="1" applyAlignment="1">
      <alignment vertical="center"/>
    </xf>
    <xf numFmtId="0" fontId="3" fillId="0" borderId="0" xfId="2" applyFont="1" applyAlignment="1">
      <alignment horizontal="left" vertical="center"/>
    </xf>
    <xf numFmtId="0" fontId="3" fillId="0" borderId="2" xfId="2" applyFont="1" applyBorder="1" applyAlignment="1">
      <alignment vertical="center"/>
    </xf>
    <xf numFmtId="0" fontId="3" fillId="0" borderId="2" xfId="2" applyFont="1" applyBorder="1" applyAlignment="1">
      <alignment horizontal="right" vertical="center"/>
    </xf>
    <xf numFmtId="0" fontId="6" fillId="0" borderId="0" xfId="2" applyFont="1" applyAlignment="1">
      <alignment vertical="center"/>
    </xf>
    <xf numFmtId="0" fontId="5" fillId="0" borderId="0" xfId="2" applyFont="1" applyAlignment="1">
      <alignment vertical="center"/>
    </xf>
    <xf numFmtId="187" fontId="5" fillId="0" borderId="0" xfId="1" applyFont="1" applyAlignment="1">
      <alignment vertical="center"/>
    </xf>
    <xf numFmtId="0" fontId="5" fillId="0" borderId="12" xfId="2" applyFont="1" applyBorder="1" applyAlignment="1">
      <alignment horizontal="center" vertical="center"/>
    </xf>
    <xf numFmtId="0" fontId="3" fillId="0" borderId="13" xfId="3" applyFont="1" applyBorder="1" applyAlignment="1">
      <alignment horizontal="center" vertical="center"/>
    </xf>
    <xf numFmtId="0" fontId="8" fillId="0" borderId="14" xfId="3" applyFont="1" applyBorder="1" applyAlignment="1">
      <alignment horizontal="left" vertical="center"/>
    </xf>
    <xf numFmtId="0" fontId="3" fillId="3" borderId="15" xfId="2" applyFont="1" applyFill="1" applyBorder="1" applyAlignment="1">
      <alignment horizontal="center" vertical="center"/>
    </xf>
    <xf numFmtId="0" fontId="3" fillId="3" borderId="16" xfId="2" applyFont="1" applyFill="1" applyBorder="1" applyAlignment="1">
      <alignment vertical="center"/>
    </xf>
    <xf numFmtId="0" fontId="3" fillId="3" borderId="14" xfId="2" applyFont="1" applyFill="1" applyBorder="1" applyAlignment="1">
      <alignment vertical="center"/>
    </xf>
    <xf numFmtId="0" fontId="3" fillId="3" borderId="15" xfId="2" applyFont="1" applyFill="1" applyBorder="1" applyAlignment="1">
      <alignment vertical="center"/>
    </xf>
    <xf numFmtId="0" fontId="3" fillId="3" borderId="16" xfId="2" applyFont="1" applyFill="1" applyBorder="1" applyAlignment="1">
      <alignment horizontal="center" vertical="center"/>
    </xf>
    <xf numFmtId="0" fontId="3" fillId="3" borderId="15" xfId="2" applyFont="1" applyFill="1" applyBorder="1" applyAlignment="1">
      <alignment horizontal="left" vertical="center"/>
    </xf>
    <xf numFmtId="187" fontId="3" fillId="3" borderId="14" xfId="1" applyFont="1" applyFill="1" applyBorder="1" applyAlignment="1">
      <alignment vertical="center" shrinkToFit="1"/>
    </xf>
    <xf numFmtId="0" fontId="3" fillId="0" borderId="17" xfId="3" applyFont="1" applyBorder="1" applyAlignment="1">
      <alignment horizontal="center" vertical="center"/>
    </xf>
    <xf numFmtId="0" fontId="8" fillId="0" borderId="18" xfId="3" applyFont="1" applyBorder="1" applyAlignment="1">
      <alignment horizontal="left" vertical="center"/>
    </xf>
    <xf numFmtId="0" fontId="3" fillId="0" borderId="18" xfId="3" applyFont="1" applyBorder="1" applyAlignment="1">
      <alignment vertical="center"/>
    </xf>
    <xf numFmtId="0" fontId="3" fillId="0" borderId="19" xfId="2" applyFont="1" applyBorder="1" applyAlignment="1">
      <alignment horizontal="center" vertical="center"/>
    </xf>
    <xf numFmtId="0" fontId="3" fillId="0" borderId="18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87" fontId="3" fillId="0" borderId="17" xfId="1" applyFont="1" applyFill="1" applyBorder="1" applyAlignment="1">
      <alignment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21" xfId="0" applyFont="1" applyBorder="1" applyAlignment="1">
      <alignment vertical="center"/>
    </xf>
    <xf numFmtId="0" fontId="3" fillId="0" borderId="14" xfId="0" applyFont="1" applyBorder="1" applyAlignment="1">
      <alignment vertical="center" wrapText="1"/>
    </xf>
    <xf numFmtId="0" fontId="3" fillId="0" borderId="15" xfId="2" applyFont="1" applyBorder="1" applyAlignment="1">
      <alignment vertical="center"/>
    </xf>
    <xf numFmtId="0" fontId="3" fillId="0" borderId="14" xfId="2" applyFont="1" applyBorder="1" applyAlignment="1">
      <alignment horizontal="center" vertical="center"/>
    </xf>
    <xf numFmtId="0" fontId="3" fillId="0" borderId="14" xfId="2" applyFont="1" applyBorder="1" applyAlignment="1">
      <alignment horizontal="left" vertical="center"/>
    </xf>
    <xf numFmtId="0" fontId="3" fillId="0" borderId="15" xfId="2" applyFont="1" applyBorder="1" applyAlignment="1">
      <alignment horizontal="center" vertical="center"/>
    </xf>
    <xf numFmtId="43" fontId="9" fillId="0" borderId="13" xfId="4" applyFont="1" applyFill="1" applyBorder="1" applyAlignment="1">
      <alignment horizontal="right" vertical="center"/>
    </xf>
    <xf numFmtId="187" fontId="3" fillId="0" borderId="13" xfId="1" applyFont="1" applyFill="1" applyBorder="1" applyAlignment="1">
      <alignment vertical="center"/>
    </xf>
    <xf numFmtId="187" fontId="3" fillId="0" borderId="0" xfId="2" applyNumberFormat="1" applyFont="1" applyAlignment="1">
      <alignment vertical="center"/>
    </xf>
    <xf numFmtId="0" fontId="4" fillId="2" borderId="14" xfId="2" applyFont="1" applyFill="1" applyBorder="1" applyAlignment="1">
      <alignment horizontal="center" vertical="center"/>
    </xf>
    <xf numFmtId="43" fontId="3" fillId="0" borderId="13" xfId="4" applyFont="1" applyFill="1" applyBorder="1" applyAlignment="1">
      <alignment horizontal="right" vertical="center"/>
    </xf>
    <xf numFmtId="0" fontId="3" fillId="0" borderId="14" xfId="0" applyFont="1" applyBorder="1" applyAlignment="1">
      <alignment horizontal="center" vertical="center"/>
    </xf>
    <xf numFmtId="187" fontId="3" fillId="0" borderId="13" xfId="1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0" fontId="10" fillId="0" borderId="21" xfId="0" applyFont="1" applyBorder="1" applyAlignment="1">
      <alignment vertical="center"/>
    </xf>
    <xf numFmtId="0" fontId="10" fillId="0" borderId="14" xfId="0" applyFont="1" applyBorder="1" applyAlignment="1">
      <alignment vertical="center" wrapText="1"/>
    </xf>
    <xf numFmtId="0" fontId="10" fillId="0" borderId="15" xfId="2" applyFont="1" applyBorder="1" applyAlignment="1">
      <alignment vertical="center"/>
    </xf>
    <xf numFmtId="0" fontId="10" fillId="0" borderId="14" xfId="0" applyFont="1" applyBorder="1" applyAlignment="1">
      <alignment horizontal="center" vertical="center"/>
    </xf>
    <xf numFmtId="0" fontId="10" fillId="0" borderId="14" xfId="2" applyFont="1" applyBorder="1" applyAlignment="1">
      <alignment horizontal="center" vertical="center"/>
    </xf>
    <xf numFmtId="0" fontId="10" fillId="0" borderId="14" xfId="2" applyFont="1" applyBorder="1" applyAlignment="1">
      <alignment horizontal="left" vertical="center"/>
    </xf>
    <xf numFmtId="0" fontId="10" fillId="0" borderId="15" xfId="2" applyFont="1" applyBorder="1" applyAlignment="1">
      <alignment horizontal="center" vertical="center"/>
    </xf>
    <xf numFmtId="187" fontId="10" fillId="0" borderId="13" xfId="1" applyFont="1" applyFill="1" applyBorder="1" applyAlignment="1">
      <alignment vertical="center"/>
    </xf>
    <xf numFmtId="0" fontId="10" fillId="3" borderId="13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vertical="center"/>
    </xf>
    <xf numFmtId="0" fontId="10" fillId="3" borderId="14" xfId="0" applyFont="1" applyFill="1" applyBorder="1" applyAlignment="1">
      <alignment vertical="center" wrapText="1"/>
    </xf>
    <xf numFmtId="0" fontId="10" fillId="3" borderId="15" xfId="2" applyFont="1" applyFill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14" xfId="2" applyFont="1" applyFill="1" applyBorder="1" applyAlignment="1">
      <alignment horizontal="center" vertical="center"/>
    </xf>
    <xf numFmtId="0" fontId="10" fillId="3" borderId="15" xfId="2" applyFont="1" applyFill="1" applyBorder="1" applyAlignment="1">
      <alignment horizontal="center" vertical="center"/>
    </xf>
    <xf numFmtId="187" fontId="10" fillId="3" borderId="13" xfId="1" applyFont="1" applyFill="1" applyBorder="1" applyAlignment="1">
      <alignment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vertical="center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 wrapText="1"/>
    </xf>
    <xf numFmtId="0" fontId="6" fillId="2" borderId="15" xfId="2" applyFont="1" applyFill="1" applyBorder="1" applyAlignment="1">
      <alignment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4" xfId="2" applyFont="1" applyFill="1" applyBorder="1" applyAlignment="1">
      <alignment horizontal="center" vertical="center"/>
    </xf>
    <xf numFmtId="0" fontId="6" fillId="2" borderId="15" xfId="2" applyFont="1" applyFill="1" applyBorder="1" applyAlignment="1">
      <alignment horizontal="center" vertical="center"/>
    </xf>
    <xf numFmtId="187" fontId="6" fillId="2" borderId="13" xfId="1" applyFont="1" applyFill="1" applyBorder="1" applyAlignment="1">
      <alignment vertical="center"/>
    </xf>
    <xf numFmtId="187" fontId="6" fillId="0" borderId="0" xfId="2" applyNumberFormat="1" applyFont="1" applyAlignment="1">
      <alignment vertical="center"/>
    </xf>
    <xf numFmtId="187" fontId="6" fillId="0" borderId="0" xfId="1" applyFont="1" applyAlignment="1">
      <alignment vertical="center"/>
    </xf>
    <xf numFmtId="0" fontId="8" fillId="0" borderId="14" xfId="0" applyFont="1" applyBorder="1" applyAlignment="1">
      <alignment vertical="center"/>
    </xf>
    <xf numFmtId="0" fontId="3" fillId="0" borderId="14" xfId="3" applyFont="1" applyBorder="1" applyAlignment="1">
      <alignment vertical="center"/>
    </xf>
    <xf numFmtId="0" fontId="3" fillId="0" borderId="16" xfId="2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0" fontId="3" fillId="0" borderId="5" xfId="2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5" xfId="3" applyFont="1" applyBorder="1" applyAlignment="1">
      <alignment horizontal="left" vertical="center"/>
    </xf>
    <xf numFmtId="0" fontId="3" fillId="0" borderId="5" xfId="2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187" fontId="3" fillId="0" borderId="5" xfId="1" applyFont="1" applyFill="1" applyBorder="1" applyAlignment="1">
      <alignment vertical="center"/>
    </xf>
    <xf numFmtId="187" fontId="3" fillId="0" borderId="5" xfId="1" applyFont="1" applyBorder="1" applyAlignment="1">
      <alignment vertical="center"/>
    </xf>
    <xf numFmtId="0" fontId="3" fillId="0" borderId="0" xfId="3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87" fontId="3" fillId="0" borderId="0" xfId="1" applyFont="1" applyFill="1" applyBorder="1" applyAlignment="1">
      <alignment vertical="center"/>
    </xf>
    <xf numFmtId="187" fontId="4" fillId="0" borderId="0" xfId="1" applyFont="1" applyBorder="1" applyAlignment="1">
      <alignment horizontal="right" vertical="center"/>
    </xf>
    <xf numFmtId="0" fontId="3" fillId="0" borderId="22" xfId="2" applyFont="1" applyBorder="1" applyAlignment="1">
      <alignment horizontal="left" vertical="center"/>
    </xf>
    <xf numFmtId="0" fontId="3" fillId="0" borderId="22" xfId="0" applyFont="1" applyBorder="1" applyAlignment="1">
      <alignment vertical="center"/>
    </xf>
    <xf numFmtId="0" fontId="3" fillId="0" borderId="22" xfId="3" applyFont="1" applyBorder="1" applyAlignment="1">
      <alignment horizontal="left" vertical="center"/>
    </xf>
    <xf numFmtId="0" fontId="3" fillId="0" borderId="22" xfId="2" applyFont="1" applyBorder="1" applyAlignment="1">
      <alignment vertical="center"/>
    </xf>
    <xf numFmtId="0" fontId="3" fillId="0" borderId="22" xfId="0" applyFont="1" applyBorder="1" applyAlignment="1">
      <alignment horizontal="center" vertical="center"/>
    </xf>
    <xf numFmtId="0" fontId="3" fillId="0" borderId="22" xfId="2" applyFont="1" applyBorder="1" applyAlignment="1">
      <alignment horizontal="center" vertical="center"/>
    </xf>
    <xf numFmtId="187" fontId="3" fillId="0" borderId="22" xfId="1" applyFont="1" applyFill="1" applyBorder="1" applyAlignment="1">
      <alignment vertical="center"/>
    </xf>
    <xf numFmtId="0" fontId="3" fillId="0" borderId="22" xfId="2" applyFont="1" applyBorder="1" applyAlignment="1">
      <alignment horizontal="right" vertical="center"/>
    </xf>
    <xf numFmtId="0" fontId="5" fillId="0" borderId="23" xfId="2" applyFont="1" applyBorder="1" applyAlignment="1">
      <alignment horizontal="center" vertical="center"/>
    </xf>
    <xf numFmtId="0" fontId="5" fillId="0" borderId="24" xfId="2" applyFont="1" applyBorder="1" applyAlignment="1">
      <alignment horizontal="center" vertical="center"/>
    </xf>
    <xf numFmtId="187" fontId="5" fillId="0" borderId="25" xfId="1" applyFont="1" applyBorder="1" applyAlignment="1">
      <alignment horizontal="center" vertical="center"/>
    </xf>
    <xf numFmtId="0" fontId="3" fillId="0" borderId="13" xfId="2" applyFont="1" applyBorder="1" applyAlignment="1">
      <alignment horizontal="center" vertical="center"/>
    </xf>
    <xf numFmtId="0" fontId="3" fillId="0" borderId="14" xfId="3" applyFont="1" applyBorder="1" applyAlignment="1">
      <alignment horizontal="left" vertical="center"/>
    </xf>
    <xf numFmtId="0" fontId="6" fillId="0" borderId="13" xfId="2" applyFont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4" xfId="3" applyFont="1" applyBorder="1" applyAlignment="1">
      <alignment horizontal="left" vertical="center"/>
    </xf>
    <xf numFmtId="0" fontId="6" fillId="0" borderId="15" xfId="2" applyFont="1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6" fillId="0" borderId="14" xfId="2" applyFont="1" applyBorder="1" applyAlignment="1">
      <alignment horizontal="center" vertical="center"/>
    </xf>
    <xf numFmtId="0" fontId="6" fillId="0" borderId="14" xfId="2" applyFont="1" applyBorder="1" applyAlignment="1">
      <alignment horizontal="left" vertical="center"/>
    </xf>
    <xf numFmtId="0" fontId="6" fillId="0" borderId="15" xfId="2" applyFont="1" applyBorder="1" applyAlignment="1">
      <alignment horizontal="center" vertical="center"/>
    </xf>
    <xf numFmtId="187" fontId="6" fillId="0" borderId="13" xfId="1" applyFont="1" applyFill="1" applyBorder="1" applyAlignment="1">
      <alignment vertical="center"/>
    </xf>
    <xf numFmtId="0" fontId="3" fillId="0" borderId="14" xfId="5" applyFont="1" applyBorder="1" applyAlignment="1">
      <alignment horizontal="left" vertical="center"/>
    </xf>
    <xf numFmtId="43" fontId="3" fillId="0" borderId="13" xfId="6" applyFont="1" applyFill="1" applyBorder="1" applyAlignment="1">
      <alignment vertical="center"/>
    </xf>
    <xf numFmtId="0" fontId="6" fillId="2" borderId="13" xfId="2" applyFont="1" applyFill="1" applyBorder="1" applyAlignment="1">
      <alignment horizontal="center" vertical="center"/>
    </xf>
    <xf numFmtId="0" fontId="6" fillId="2" borderId="14" xfId="3" applyFont="1" applyFill="1" applyBorder="1" applyAlignment="1">
      <alignment horizontal="left" vertical="center"/>
    </xf>
    <xf numFmtId="0" fontId="6" fillId="2" borderId="16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49" fontId="6" fillId="2" borderId="13" xfId="2" applyNumberFormat="1" applyFont="1" applyFill="1" applyBorder="1" applyAlignment="1">
      <alignment horizontal="center" vertical="center"/>
    </xf>
    <xf numFmtId="0" fontId="6" fillId="2" borderId="14" xfId="2" applyFont="1" applyFill="1" applyBorder="1" applyAlignment="1">
      <alignment horizontal="left" vertical="center"/>
    </xf>
    <xf numFmtId="0" fontId="6" fillId="2" borderId="16" xfId="2" applyFont="1" applyFill="1" applyBorder="1" applyAlignment="1">
      <alignment horizontal="center" vertical="center"/>
    </xf>
    <xf numFmtId="43" fontId="6" fillId="2" borderId="15" xfId="7" applyFont="1" applyFill="1" applyBorder="1" applyAlignment="1" applyProtection="1">
      <alignment horizontal="center" vertical="center"/>
    </xf>
    <xf numFmtId="43" fontId="6" fillId="2" borderId="13" xfId="7" applyFont="1" applyFill="1" applyBorder="1" applyAlignment="1" applyProtection="1">
      <alignment horizontal="center" vertical="center" shrinkToFit="1"/>
    </xf>
    <xf numFmtId="49" fontId="3" fillId="0" borderId="13" xfId="2" applyNumberFormat="1" applyFont="1" applyBorder="1" applyAlignment="1">
      <alignment horizontal="center" vertical="center"/>
    </xf>
    <xf numFmtId="43" fontId="3" fillId="0" borderId="15" xfId="7" applyFont="1" applyFill="1" applyBorder="1" applyAlignment="1" applyProtection="1">
      <alignment horizontal="center" vertical="center"/>
    </xf>
    <xf numFmtId="43" fontId="3" fillId="0" borderId="13" xfId="7" applyFont="1" applyFill="1" applyBorder="1" applyAlignment="1" applyProtection="1">
      <alignment horizontal="center" vertical="center" shrinkToFit="1"/>
    </xf>
    <xf numFmtId="0" fontId="3" fillId="0" borderId="16" xfId="2" applyFont="1" applyBorder="1" applyAlignment="1">
      <alignment horizontal="left" vertical="center"/>
    </xf>
    <xf numFmtId="0" fontId="6" fillId="2" borderId="16" xfId="2" applyFont="1" applyFill="1" applyBorder="1" applyAlignment="1">
      <alignment horizontal="left" vertical="center"/>
    </xf>
    <xf numFmtId="43" fontId="3" fillId="0" borderId="14" xfId="7" applyFont="1" applyFill="1" applyBorder="1" applyAlignment="1" applyProtection="1">
      <alignment horizontal="center" vertical="center"/>
    </xf>
    <xf numFmtId="0" fontId="6" fillId="2" borderId="14" xfId="2" applyFont="1" applyFill="1" applyBorder="1" applyAlignment="1">
      <alignment vertical="center"/>
    </xf>
    <xf numFmtId="43" fontId="6" fillId="2" borderId="14" xfId="7" applyFont="1" applyFill="1" applyBorder="1" applyAlignment="1" applyProtection="1">
      <alignment horizontal="center" vertical="center"/>
    </xf>
    <xf numFmtId="0" fontId="3" fillId="0" borderId="14" xfId="2" applyFont="1" applyBorder="1" applyAlignment="1">
      <alignment vertical="center"/>
    </xf>
    <xf numFmtId="43" fontId="11" fillId="0" borderId="13" xfId="4" applyFont="1" applyFill="1" applyBorder="1" applyAlignment="1">
      <alignment horizontal="right" vertical="center"/>
    </xf>
    <xf numFmtId="0" fontId="4" fillId="2" borderId="13" xfId="3" applyFont="1" applyFill="1" applyBorder="1" applyAlignment="1">
      <alignment horizontal="center" vertical="center"/>
    </xf>
    <xf numFmtId="0" fontId="4" fillId="2" borderId="16" xfId="2" applyFont="1" applyFill="1" applyBorder="1" applyAlignment="1">
      <alignment horizontal="left" vertical="center"/>
    </xf>
    <xf numFmtId="0" fontId="4" fillId="2" borderId="14" xfId="3" applyFont="1" applyFill="1" applyBorder="1" applyAlignment="1">
      <alignment horizontal="left" vertical="center"/>
    </xf>
    <xf numFmtId="0" fontId="4" fillId="2" borderId="15" xfId="2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2" applyFont="1" applyFill="1" applyBorder="1" applyAlignment="1">
      <alignment horizontal="center" vertical="center"/>
    </xf>
    <xf numFmtId="187" fontId="4" fillId="2" borderId="13" xfId="1" applyFont="1" applyFill="1" applyBorder="1" applyAlignment="1">
      <alignment horizontal="center" vertical="center"/>
    </xf>
    <xf numFmtId="0" fontId="3" fillId="3" borderId="13" xfId="3" applyFont="1" applyFill="1" applyBorder="1" applyAlignment="1">
      <alignment horizontal="center" vertical="center"/>
    </xf>
    <xf numFmtId="0" fontId="3" fillId="3" borderId="16" xfId="2" applyFont="1" applyFill="1" applyBorder="1" applyAlignment="1">
      <alignment horizontal="left" vertical="center"/>
    </xf>
    <xf numFmtId="0" fontId="4" fillId="3" borderId="14" xfId="3" applyFont="1" applyFill="1" applyBorder="1" applyAlignment="1">
      <alignment horizontal="left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4" xfId="2" applyFont="1" applyFill="1" applyBorder="1" applyAlignment="1">
      <alignment horizontal="center" vertical="center"/>
    </xf>
    <xf numFmtId="187" fontId="3" fillId="3" borderId="13" xfId="1" applyFont="1" applyFill="1" applyBorder="1" applyAlignment="1">
      <alignment vertical="center"/>
    </xf>
    <xf numFmtId="0" fontId="6" fillId="2" borderId="13" xfId="3" applyFont="1" applyFill="1" applyBorder="1" applyAlignment="1">
      <alignment horizontal="center" vertical="center"/>
    </xf>
    <xf numFmtId="43" fontId="3" fillId="0" borderId="13" xfId="8" applyFont="1" applyFill="1" applyBorder="1" applyAlignment="1">
      <alignment horizontal="right" vertical="center"/>
    </xf>
    <xf numFmtId="49" fontId="3" fillId="0" borderId="13" xfId="3" applyNumberFormat="1" applyFont="1" applyBorder="1" applyAlignment="1">
      <alignment horizontal="center" vertical="center"/>
    </xf>
    <xf numFmtId="0" fontId="3" fillId="0" borderId="16" xfId="3" applyFont="1" applyBorder="1" applyAlignment="1">
      <alignment horizontal="left" vertical="center"/>
    </xf>
    <xf numFmtId="187" fontId="3" fillId="0" borderId="26" xfId="1" applyFont="1" applyFill="1" applyBorder="1" applyAlignment="1">
      <alignment horizontal="center" vertical="center" shrinkToFit="1"/>
    </xf>
    <xf numFmtId="187" fontId="4" fillId="0" borderId="27" xfId="1" applyFont="1" applyFill="1" applyBorder="1" applyAlignment="1">
      <alignment horizontal="center" vertical="center" shrinkToFit="1"/>
    </xf>
    <xf numFmtId="187" fontId="5" fillId="0" borderId="29" xfId="1" applyFont="1" applyFill="1" applyBorder="1" applyAlignment="1">
      <alignment horizontal="center" vertical="center" shrinkToFit="1"/>
    </xf>
    <xf numFmtId="49" fontId="3" fillId="0" borderId="17" xfId="3" applyNumberFormat="1" applyFont="1" applyBorder="1" applyAlignment="1">
      <alignment horizontal="center" vertical="center"/>
    </xf>
    <xf numFmtId="0" fontId="3" fillId="0" borderId="20" xfId="3" applyFont="1" applyBorder="1" applyAlignment="1">
      <alignment horizontal="left" vertical="center"/>
    </xf>
    <xf numFmtId="0" fontId="3" fillId="0" borderId="18" xfId="3" applyFont="1" applyBorder="1" applyAlignment="1">
      <alignment horizontal="left" vertical="center"/>
    </xf>
    <xf numFmtId="0" fontId="3" fillId="0" borderId="20" xfId="2" applyFont="1" applyBorder="1" applyAlignment="1">
      <alignment horizontal="center" vertical="center"/>
    </xf>
    <xf numFmtId="187" fontId="3" fillId="0" borderId="0" xfId="1" applyFont="1" applyFill="1" applyBorder="1" applyAlignment="1">
      <alignment horizontal="center" vertical="center" shrinkToFit="1"/>
    </xf>
    <xf numFmtId="187" fontId="3" fillId="0" borderId="14" xfId="1" applyFont="1" applyFill="1" applyBorder="1" applyAlignment="1">
      <alignment vertical="center" shrinkToFit="1"/>
    </xf>
    <xf numFmtId="0" fontId="3" fillId="0" borderId="9" xfId="2" applyFont="1" applyBorder="1" applyAlignment="1">
      <alignment horizontal="center" vertical="center"/>
    </xf>
    <xf numFmtId="0" fontId="3" fillId="0" borderId="9" xfId="2" applyFont="1" applyBorder="1" applyAlignment="1">
      <alignment horizontal="left" vertical="center"/>
    </xf>
    <xf numFmtId="0" fontId="3" fillId="0" borderId="10" xfId="2" applyFont="1" applyBorder="1" applyAlignment="1">
      <alignment horizontal="left" vertical="center"/>
    </xf>
    <xf numFmtId="0" fontId="3" fillId="0" borderId="11" xfId="2" applyFont="1" applyBorder="1" applyAlignment="1">
      <alignment vertical="center"/>
    </xf>
    <xf numFmtId="0" fontId="3" fillId="0" borderId="10" xfId="2" applyFont="1" applyBorder="1" applyAlignment="1">
      <alignment horizontal="center" vertical="center"/>
    </xf>
    <xf numFmtId="0" fontId="3" fillId="0" borderId="11" xfId="2" applyFont="1" applyBorder="1" applyAlignment="1">
      <alignment horizontal="center" vertical="center"/>
    </xf>
    <xf numFmtId="0" fontId="3" fillId="0" borderId="9" xfId="2" applyFont="1" applyBorder="1" applyAlignment="1">
      <alignment vertical="center"/>
    </xf>
    <xf numFmtId="187" fontId="3" fillId="0" borderId="8" xfId="1" applyFont="1" applyBorder="1" applyAlignment="1">
      <alignment vertical="center"/>
    </xf>
    <xf numFmtId="0" fontId="3" fillId="0" borderId="20" xfId="2" applyFont="1" applyBorder="1" applyAlignment="1">
      <alignment vertical="center"/>
    </xf>
    <xf numFmtId="0" fontId="3" fillId="0" borderId="30" xfId="2" applyFont="1" applyBorder="1" applyAlignment="1">
      <alignment vertical="center"/>
    </xf>
    <xf numFmtId="0" fontId="3" fillId="0" borderId="31" xfId="2" applyFont="1" applyBorder="1" applyAlignment="1">
      <alignment vertical="center"/>
    </xf>
    <xf numFmtId="187" fontId="3" fillId="0" borderId="32" xfId="1" applyFont="1" applyBorder="1" applyAlignment="1">
      <alignment horizontal="center" vertical="center"/>
    </xf>
    <xf numFmtId="187" fontId="3" fillId="0" borderId="33" xfId="1" applyFont="1" applyBorder="1" applyAlignment="1">
      <alignment horizontal="center" vertical="center" shrinkToFit="1"/>
    </xf>
    <xf numFmtId="187" fontId="12" fillId="0" borderId="0" xfId="1" applyFont="1" applyAlignment="1">
      <alignment vertical="center"/>
    </xf>
    <xf numFmtId="0" fontId="3" fillId="0" borderId="23" xfId="2" applyFont="1" applyBorder="1" applyAlignment="1">
      <alignment horizontal="left" vertical="center"/>
    </xf>
    <xf numFmtId="187" fontId="3" fillId="0" borderId="23" xfId="1" applyFont="1" applyBorder="1" applyAlignment="1">
      <alignment horizontal="center" vertical="center"/>
    </xf>
    <xf numFmtId="187" fontId="3" fillId="0" borderId="25" xfId="1" applyFont="1" applyBorder="1" applyAlignment="1">
      <alignment horizontal="center" vertical="center" shrinkToFit="1"/>
    </xf>
    <xf numFmtId="187" fontId="5" fillId="0" borderId="34" xfId="1" applyFont="1" applyBorder="1" applyAlignment="1">
      <alignment horizontal="center" vertical="center"/>
    </xf>
    <xf numFmtId="187" fontId="5" fillId="0" borderId="35" xfId="1" applyFont="1" applyBorder="1" applyAlignment="1">
      <alignment horizontal="center" vertical="center" shrinkToFit="1"/>
    </xf>
    <xf numFmtId="0" fontId="3" fillId="0" borderId="23" xfId="2" applyFont="1" applyBorder="1" applyAlignment="1">
      <alignment vertical="center"/>
    </xf>
    <xf numFmtId="0" fontId="3" fillId="0" borderId="23" xfId="2" applyFont="1" applyBorder="1" applyAlignment="1">
      <alignment horizontal="center" vertical="center"/>
    </xf>
    <xf numFmtId="0" fontId="3" fillId="0" borderId="24" xfId="2" applyFont="1" applyBorder="1" applyAlignment="1">
      <alignment horizontal="center" vertical="center"/>
    </xf>
    <xf numFmtId="0" fontId="3" fillId="0" borderId="0" xfId="2" applyFont="1" applyAlignment="1">
      <alignment vertical="center" wrapText="1"/>
    </xf>
    <xf numFmtId="187" fontId="3" fillId="0" borderId="0" xfId="1" applyFont="1" applyAlignment="1">
      <alignment horizontal="center" vertical="center"/>
    </xf>
    <xf numFmtId="0" fontId="3" fillId="0" borderId="24" xfId="2" applyFont="1" applyBorder="1" applyAlignment="1">
      <alignment horizontal="left" vertical="center"/>
    </xf>
    <xf numFmtId="0" fontId="3" fillId="0" borderId="37" xfId="2" applyFont="1" applyBorder="1" applyAlignment="1">
      <alignment horizontal="left" vertical="center"/>
    </xf>
    <xf numFmtId="187" fontId="3" fillId="0" borderId="16" xfId="1" applyFont="1" applyBorder="1" applyAlignment="1">
      <alignment vertical="center" shrinkToFit="1"/>
    </xf>
    <xf numFmtId="187" fontId="3" fillId="0" borderId="16" xfId="1" applyFont="1" applyBorder="1" applyAlignment="1">
      <alignment vertical="center"/>
    </xf>
    <xf numFmtId="43" fontId="9" fillId="0" borderId="16" xfId="4" applyFont="1" applyFill="1" applyBorder="1" applyAlignment="1">
      <alignment horizontal="right" vertical="center"/>
    </xf>
    <xf numFmtId="187" fontId="3" fillId="0" borderId="16" xfId="1" applyFont="1" applyBorder="1" applyAlignment="1">
      <alignment horizontal="center" vertical="center"/>
    </xf>
    <xf numFmtId="187" fontId="10" fillId="0" borderId="16" xfId="1" applyFont="1" applyBorder="1" applyAlignment="1">
      <alignment vertical="center"/>
    </xf>
    <xf numFmtId="187" fontId="10" fillId="3" borderId="16" xfId="1" applyFont="1" applyFill="1" applyBorder="1" applyAlignment="1">
      <alignment vertical="center"/>
    </xf>
    <xf numFmtId="187" fontId="6" fillId="2" borderId="16" xfId="1" applyFont="1" applyFill="1" applyBorder="1" applyAlignment="1">
      <alignment vertical="center"/>
    </xf>
    <xf numFmtId="187" fontId="5" fillId="0" borderId="23" xfId="1" applyFont="1" applyBorder="1" applyAlignment="1">
      <alignment horizontal="center" vertical="center"/>
    </xf>
    <xf numFmtId="187" fontId="6" fillId="0" borderId="16" xfId="1" applyFont="1" applyBorder="1" applyAlignment="1">
      <alignment vertical="center"/>
    </xf>
    <xf numFmtId="43" fontId="11" fillId="0" borderId="16" xfId="4" applyFont="1" applyFill="1" applyBorder="1" applyAlignment="1">
      <alignment horizontal="right" vertical="center"/>
    </xf>
    <xf numFmtId="187" fontId="4" fillId="2" borderId="16" xfId="1" applyFont="1" applyFill="1" applyBorder="1" applyAlignment="1">
      <alignment horizontal="center" vertical="center"/>
    </xf>
    <xf numFmtId="187" fontId="3" fillId="3" borderId="16" xfId="1" applyFont="1" applyFill="1" applyBorder="1" applyAlignment="1">
      <alignment vertical="center"/>
    </xf>
    <xf numFmtId="0" fontId="4" fillId="0" borderId="39" xfId="2" applyFont="1" applyBorder="1" applyAlignment="1">
      <alignment vertical="center"/>
    </xf>
    <xf numFmtId="0" fontId="4" fillId="0" borderId="13" xfId="2" applyFont="1" applyBorder="1" applyAlignment="1">
      <alignment vertical="center"/>
    </xf>
    <xf numFmtId="187" fontId="4" fillId="0" borderId="13" xfId="2" applyNumberFormat="1" applyFont="1" applyBorder="1" applyAlignment="1">
      <alignment vertical="center"/>
    </xf>
    <xf numFmtId="187" fontId="6" fillId="0" borderId="13" xfId="2" applyNumberFormat="1" applyFont="1" applyBorder="1" applyAlignment="1">
      <alignment vertical="center"/>
    </xf>
    <xf numFmtId="187" fontId="4" fillId="0" borderId="28" xfId="2" applyNumberFormat="1" applyFont="1" applyBorder="1" applyAlignment="1">
      <alignment vertical="center"/>
    </xf>
    <xf numFmtId="187" fontId="3" fillId="0" borderId="26" xfId="1" applyFont="1" applyBorder="1" applyAlignment="1">
      <alignment vertical="center" shrinkToFit="1"/>
    </xf>
    <xf numFmtId="187" fontId="4" fillId="0" borderId="27" xfId="1" applyFont="1" applyBorder="1" applyAlignment="1">
      <alignment vertical="center" shrinkToFit="1"/>
    </xf>
    <xf numFmtId="187" fontId="5" fillId="0" borderId="29" xfId="1" applyFont="1" applyBorder="1" applyAlignment="1">
      <alignment vertical="center" shrinkToFit="1"/>
    </xf>
    <xf numFmtId="187" fontId="3" fillId="0" borderId="23" xfId="1" applyFont="1" applyBorder="1" applyAlignment="1">
      <alignment vertical="center" shrinkToFit="1"/>
    </xf>
    <xf numFmtId="187" fontId="3" fillId="0" borderId="9" xfId="1" applyFont="1" applyBorder="1" applyAlignment="1">
      <alignment vertical="center" shrinkToFit="1"/>
    </xf>
    <xf numFmtId="0" fontId="4" fillId="0" borderId="25" xfId="2" applyFont="1" applyBorder="1" applyAlignment="1">
      <alignment vertical="center"/>
    </xf>
    <xf numFmtId="0" fontId="4" fillId="0" borderId="38" xfId="2" applyFont="1" applyBorder="1" applyAlignment="1">
      <alignment vertical="center"/>
    </xf>
    <xf numFmtId="0" fontId="4" fillId="0" borderId="3" xfId="2" applyFont="1" applyBorder="1" applyAlignment="1">
      <alignment vertical="center"/>
    </xf>
    <xf numFmtId="0" fontId="6" fillId="0" borderId="3" xfId="2" applyFont="1" applyBorder="1" applyAlignment="1">
      <alignment horizontal="center" vertical="center"/>
    </xf>
    <xf numFmtId="0" fontId="6" fillId="0" borderId="8" xfId="2" applyFont="1" applyBorder="1" applyAlignment="1">
      <alignment horizontal="center" vertical="center"/>
    </xf>
    <xf numFmtId="0" fontId="3" fillId="0" borderId="23" xfId="2" applyFont="1" applyBorder="1" applyAlignment="1">
      <alignment horizontal="left" vertical="center"/>
    </xf>
    <xf numFmtId="0" fontId="3" fillId="0" borderId="0" xfId="2" applyFont="1" applyAlignment="1">
      <alignment horizontal="left" vertical="center"/>
    </xf>
    <xf numFmtId="0" fontId="3" fillId="0" borderId="23" xfId="2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24" xfId="2" applyFont="1" applyBorder="1" applyAlignment="1">
      <alignment horizontal="center" vertical="center"/>
    </xf>
    <xf numFmtId="0" fontId="3" fillId="0" borderId="36" xfId="2" applyFont="1" applyBorder="1" applyAlignment="1">
      <alignment horizontal="left" vertical="center"/>
    </xf>
    <xf numFmtId="0" fontId="3" fillId="0" borderId="22" xfId="2" applyFont="1" applyBorder="1" applyAlignment="1">
      <alignment horizontal="left" vertical="center"/>
    </xf>
    <xf numFmtId="0" fontId="3" fillId="0" borderId="36" xfId="2" applyFont="1" applyBorder="1" applyAlignment="1">
      <alignment horizontal="center" vertical="center"/>
    </xf>
    <xf numFmtId="0" fontId="3" fillId="0" borderId="22" xfId="2" applyFont="1" applyBorder="1" applyAlignment="1">
      <alignment horizontal="center" vertical="center"/>
    </xf>
    <xf numFmtId="0" fontId="3" fillId="0" borderId="37" xfId="2" applyFont="1" applyBorder="1" applyAlignment="1">
      <alignment horizontal="center" vertical="center"/>
    </xf>
    <xf numFmtId="0" fontId="5" fillId="0" borderId="34" xfId="2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5" fillId="0" borderId="8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5" fillId="0" borderId="6" xfId="2" applyFont="1" applyBorder="1" applyAlignment="1">
      <alignment horizontal="center" vertical="center"/>
    </xf>
    <xf numFmtId="0" fontId="5" fillId="0" borderId="9" xfId="2" applyFont="1" applyBorder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0" fontId="5" fillId="0" borderId="11" xfId="2" applyFont="1" applyBorder="1" applyAlignment="1">
      <alignment horizontal="center" vertical="center"/>
    </xf>
    <xf numFmtId="187" fontId="5" fillId="0" borderId="3" xfId="1" applyFont="1" applyBorder="1" applyAlignment="1">
      <alignment horizontal="center" vertical="center"/>
    </xf>
    <xf numFmtId="187" fontId="5" fillId="0" borderId="8" xfId="1" applyFont="1" applyBorder="1" applyAlignment="1">
      <alignment horizontal="center" vertical="center"/>
    </xf>
    <xf numFmtId="187" fontId="5" fillId="0" borderId="4" xfId="1" applyFont="1" applyBorder="1" applyAlignment="1">
      <alignment horizontal="center" vertical="center"/>
    </xf>
    <xf numFmtId="187" fontId="5" fillId="0" borderId="9" xfId="1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</cellXfs>
  <cellStyles count="9">
    <cellStyle name="Comma" xfId="1" builtinId="3"/>
    <cellStyle name="Comma 3 4" xfId="7" xr:uid="{DF1F5DFA-8A50-4575-991B-AC669418BE49}"/>
    <cellStyle name="Legal 8½ x 14 in" xfId="2" xr:uid="{0C3B5DDB-9E6D-4C7B-8AA1-32F9653C573C}"/>
    <cellStyle name="Legal 8½ x 14 in 10" xfId="3" xr:uid="{C4DA0B3B-9B39-4539-9F2F-C9252D7D1E6E}"/>
    <cellStyle name="Normal" xfId="0" builtinId="0"/>
    <cellStyle name="จุลภาค 6" xfId="8" xr:uid="{661C5B2E-D131-407E-9C83-2D760BB9BDDB}"/>
    <cellStyle name="จุลภาค 7" xfId="4" xr:uid="{3C39EC90-D224-4F91-A2CC-F334DD7D9458}"/>
    <cellStyle name="จุลภาค 9" xfId="6" xr:uid="{501DB960-DCC2-4470-9C46-E81AD34B61B4}"/>
    <cellStyle name="ปกติ 2" xfId="5" xr:uid="{34EC025D-9DB3-4793-8142-0312B4BFCE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9525</xdr:colOff>
      <xdr:row>42</xdr:row>
      <xdr:rowOff>38100</xdr:rowOff>
    </xdr:from>
    <xdr:to>
      <xdr:col>12</xdr:col>
      <xdr:colOff>66675</xdr:colOff>
      <xdr:row>44</xdr:row>
      <xdr:rowOff>28575</xdr:rowOff>
    </xdr:to>
    <xdr:sp macro="" textlink="">
      <xdr:nvSpPr>
        <xdr:cNvPr id="4" name="วงเล็บปีกกาขวา 4">
          <a:extLst>
            <a:ext uri="{FF2B5EF4-FFF2-40B4-BE49-F238E27FC236}">
              <a16:creationId xmlns:a16="http://schemas.microsoft.com/office/drawing/2014/main" id="{14EABB0C-3DF5-436E-A292-4E15AE5E55A6}"/>
            </a:ext>
          </a:extLst>
        </xdr:cNvPr>
        <xdr:cNvSpPr/>
      </xdr:nvSpPr>
      <xdr:spPr>
        <a:xfrm>
          <a:off x="7461885" y="7696200"/>
          <a:ext cx="57150" cy="34099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9525</xdr:colOff>
      <xdr:row>42</xdr:row>
      <xdr:rowOff>38100</xdr:rowOff>
    </xdr:from>
    <xdr:to>
      <xdr:col>12</xdr:col>
      <xdr:colOff>66675</xdr:colOff>
      <xdr:row>44</xdr:row>
      <xdr:rowOff>28575</xdr:rowOff>
    </xdr:to>
    <xdr:sp macro="" textlink="">
      <xdr:nvSpPr>
        <xdr:cNvPr id="5" name="วงเล็บปีกกาขวา 4">
          <a:extLst>
            <a:ext uri="{FF2B5EF4-FFF2-40B4-BE49-F238E27FC236}">
              <a16:creationId xmlns:a16="http://schemas.microsoft.com/office/drawing/2014/main" id="{3A298D88-D316-4AFB-B010-B034D76AEA04}"/>
            </a:ext>
          </a:extLst>
        </xdr:cNvPr>
        <xdr:cNvSpPr/>
      </xdr:nvSpPr>
      <xdr:spPr>
        <a:xfrm>
          <a:off x="7461885" y="7696200"/>
          <a:ext cx="57150" cy="34099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A41AA-7953-4283-A3C9-19C21CA582F8}">
  <sheetPr>
    <pageSetUpPr fitToPage="1"/>
  </sheetPr>
  <dimension ref="A1:S115"/>
  <sheetViews>
    <sheetView tabSelected="1" view="pageBreakPreview" topLeftCell="A83" zoomScale="130" zoomScaleNormal="100" zoomScaleSheetLayoutView="130" workbookViewId="0">
      <selection activeCell="L108" sqref="L108"/>
    </sheetView>
  </sheetViews>
  <sheetFormatPr defaultColWidth="9.125" defaultRowHeight="20.100000000000001" customHeight="1" x14ac:dyDescent="0.2"/>
  <cols>
    <col min="1" max="1" width="8.875" style="1" customWidth="1"/>
    <col min="2" max="2" width="24.875" style="1" customWidth="1"/>
    <col min="3" max="3" width="6.5" style="1" customWidth="1"/>
    <col min="4" max="4" width="17" style="1" customWidth="1"/>
    <col min="5" max="5" width="5.375" style="1" customWidth="1"/>
    <col min="6" max="6" width="4.625" style="1" customWidth="1"/>
    <col min="7" max="7" width="4.875" style="1" customWidth="1"/>
    <col min="8" max="8" width="4.5" style="1" customWidth="1"/>
    <col min="9" max="9" width="3.125" style="1" customWidth="1"/>
    <col min="10" max="10" width="3.875" style="1" customWidth="1"/>
    <col min="11" max="11" width="11.5" style="1" customWidth="1"/>
    <col min="12" max="12" width="13.5" style="1" customWidth="1"/>
    <col min="13" max="13" width="38.625" style="2" bestFit="1" customWidth="1"/>
    <col min="14" max="14" width="11.625" style="1" customWidth="1"/>
    <col min="15" max="15" width="13.25" style="3" customWidth="1"/>
    <col min="16" max="16" width="6" style="1" customWidth="1"/>
    <col min="17" max="16384" width="9.125" style="1"/>
  </cols>
  <sheetData>
    <row r="1" spans="1:15" ht="15.95" customHeight="1" x14ac:dyDescent="0.2"/>
    <row r="2" spans="1:15" ht="15.95" customHeight="1" x14ac:dyDescent="0.2"/>
    <row r="3" spans="1:15" ht="15.95" customHeight="1" x14ac:dyDescent="0.2"/>
    <row r="4" spans="1:15" ht="15.95" customHeight="1" x14ac:dyDescent="0.2">
      <c r="K4" s="4"/>
      <c r="L4" s="4"/>
    </row>
    <row r="5" spans="1:15" ht="15.95" customHeight="1" thickBot="1" x14ac:dyDescent="0.25">
      <c r="A5" s="244" t="s">
        <v>0</v>
      </c>
      <c r="B5" s="244"/>
      <c r="C5" s="244"/>
      <c r="D5" s="244"/>
      <c r="E5" s="244"/>
      <c r="F5" s="244"/>
      <c r="G5" s="244"/>
      <c r="H5" s="244"/>
      <c r="I5" s="244"/>
      <c r="J5" s="244"/>
      <c r="K5" s="244"/>
      <c r="L5" s="244"/>
    </row>
    <row r="6" spans="1:15" ht="15.95" customHeight="1" thickTop="1" x14ac:dyDescent="0.2">
      <c r="A6" s="1" t="s">
        <v>1</v>
      </c>
      <c r="B6" s="6" t="s">
        <v>2</v>
      </c>
      <c r="C6" s="7"/>
      <c r="K6" s="7" t="s">
        <v>3</v>
      </c>
      <c r="L6" s="6" t="s">
        <v>4</v>
      </c>
    </row>
    <row r="7" spans="1:15" ht="15.95" customHeight="1" x14ac:dyDescent="0.2">
      <c r="A7" s="1" t="s">
        <v>5</v>
      </c>
      <c r="B7" s="8"/>
      <c r="D7" s="9" t="s">
        <v>6</v>
      </c>
      <c r="E7" s="9"/>
      <c r="F7" s="9"/>
      <c r="G7" s="10"/>
      <c r="H7" s="10"/>
      <c r="I7" s="10"/>
      <c r="K7" s="7" t="s">
        <v>7</v>
      </c>
      <c r="L7" s="7" t="s">
        <v>8</v>
      </c>
    </row>
    <row r="8" spans="1:15" ht="15.95" customHeight="1" x14ac:dyDescent="0.2">
      <c r="A8" s="1" t="s">
        <v>9</v>
      </c>
      <c r="B8" s="8"/>
      <c r="C8" s="11"/>
      <c r="K8" s="7" t="s">
        <v>10</v>
      </c>
      <c r="L8" s="7" t="s">
        <v>11</v>
      </c>
    </row>
    <row r="9" spans="1:15" ht="15.95" customHeight="1" x14ac:dyDescent="0.2">
      <c r="A9" s="1" t="s">
        <v>12</v>
      </c>
      <c r="C9" s="11"/>
      <c r="K9" s="7" t="s">
        <v>13</v>
      </c>
      <c r="L9" s="7" t="s">
        <v>14</v>
      </c>
    </row>
    <row r="10" spans="1:15" ht="15.95" customHeight="1" x14ac:dyDescent="0.2">
      <c r="C10" s="11"/>
      <c r="D10" s="12"/>
      <c r="K10" s="13"/>
      <c r="L10" s="7"/>
    </row>
    <row r="11" spans="1:15" ht="15.95" customHeight="1" x14ac:dyDescent="0.2">
      <c r="A11" s="1" t="s">
        <v>15</v>
      </c>
      <c r="B11" s="8"/>
      <c r="C11" s="11"/>
      <c r="K11" s="7"/>
      <c r="L11" s="7" t="s">
        <v>11</v>
      </c>
    </row>
    <row r="12" spans="1:15" ht="15.95" customHeight="1" x14ac:dyDescent="0.2">
      <c r="A12" s="1" t="s">
        <v>16</v>
      </c>
      <c r="B12" s="8"/>
      <c r="C12" s="14"/>
      <c r="K12" s="7" t="s">
        <v>17</v>
      </c>
      <c r="L12" s="7" t="s">
        <v>18</v>
      </c>
    </row>
    <row r="13" spans="1:15" ht="15.95" customHeight="1" x14ac:dyDescent="0.2">
      <c r="A13" s="15" t="s">
        <v>19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6" t="s">
        <v>20</v>
      </c>
      <c r="M13" s="2" t="s">
        <v>21</v>
      </c>
    </row>
    <row r="14" spans="1:15" s="18" customFormat="1" ht="14.1" customHeight="1" x14ac:dyDescent="0.2">
      <c r="A14" s="232" t="s">
        <v>22</v>
      </c>
      <c r="B14" s="234" t="s">
        <v>23</v>
      </c>
      <c r="C14" s="235"/>
      <c r="D14" s="236"/>
      <c r="E14" s="228" t="s">
        <v>24</v>
      </c>
      <c r="F14" s="228"/>
      <c r="G14" s="228"/>
      <c r="H14" s="229"/>
      <c r="I14" s="234" t="s">
        <v>25</v>
      </c>
      <c r="J14" s="236"/>
      <c r="K14" s="240" t="s">
        <v>26</v>
      </c>
      <c r="L14" s="242" t="s">
        <v>27</v>
      </c>
      <c r="M14" s="215" t="s">
        <v>190</v>
      </c>
      <c r="O14" s="19"/>
    </row>
    <row r="15" spans="1:15" ht="14.1" customHeight="1" thickBot="1" x14ac:dyDescent="0.25">
      <c r="A15" s="233"/>
      <c r="B15" s="237"/>
      <c r="C15" s="238"/>
      <c r="D15" s="239"/>
      <c r="E15" s="5" t="s">
        <v>28</v>
      </c>
      <c r="F15" s="5" t="s">
        <v>29</v>
      </c>
      <c r="G15" s="5" t="s">
        <v>30</v>
      </c>
      <c r="H15" s="20" t="s">
        <v>31</v>
      </c>
      <c r="I15" s="237"/>
      <c r="J15" s="239"/>
      <c r="K15" s="241"/>
      <c r="L15" s="243"/>
      <c r="M15" s="216"/>
    </row>
    <row r="16" spans="1:15" ht="14.1" customHeight="1" thickTop="1" x14ac:dyDescent="0.2">
      <c r="A16" s="21"/>
      <c r="B16" s="22" t="s">
        <v>32</v>
      </c>
      <c r="C16" s="22"/>
      <c r="D16" s="23"/>
      <c r="E16" s="24"/>
      <c r="F16" s="25"/>
      <c r="G16" s="25"/>
      <c r="H16" s="26"/>
      <c r="I16" s="27"/>
      <c r="J16" s="28"/>
      <c r="K16" s="29"/>
      <c r="L16" s="190"/>
      <c r="M16" s="202"/>
    </row>
    <row r="17" spans="1:14" ht="14.1" customHeight="1" x14ac:dyDescent="0.2">
      <c r="A17" s="30"/>
      <c r="B17" s="31" t="s">
        <v>33</v>
      </c>
      <c r="C17" s="32"/>
      <c r="D17" s="33"/>
      <c r="E17" s="34"/>
      <c r="F17" s="34"/>
      <c r="G17" s="34"/>
      <c r="H17" s="33"/>
      <c r="I17" s="35"/>
      <c r="J17" s="33"/>
      <c r="K17" s="36"/>
      <c r="L17" s="191"/>
      <c r="M17" s="203"/>
    </row>
    <row r="18" spans="1:14" ht="14.1" customHeight="1" x14ac:dyDescent="0.2">
      <c r="A18" s="37" t="s">
        <v>34</v>
      </c>
      <c r="B18" s="38" t="s">
        <v>35</v>
      </c>
      <c r="C18" s="39"/>
      <c r="D18" s="40"/>
      <c r="E18" s="41">
        <v>1800</v>
      </c>
      <c r="F18" s="41">
        <v>750</v>
      </c>
      <c r="G18" s="42" t="s">
        <v>36</v>
      </c>
      <c r="H18" s="43"/>
      <c r="I18" s="41">
        <v>2</v>
      </c>
      <c r="J18" s="43" t="s">
        <v>37</v>
      </c>
      <c r="K18" s="44">
        <v>35900</v>
      </c>
      <c r="L18" s="192">
        <f>I18*K18</f>
        <v>71800</v>
      </c>
      <c r="M18" s="203"/>
    </row>
    <row r="19" spans="1:14" ht="14.1" customHeight="1" x14ac:dyDescent="0.2">
      <c r="A19" s="37"/>
      <c r="B19" s="38" t="s">
        <v>38</v>
      </c>
      <c r="C19" s="39"/>
      <c r="D19" s="40"/>
      <c r="E19" s="41"/>
      <c r="F19" s="41"/>
      <c r="G19" s="42"/>
      <c r="H19" s="43"/>
      <c r="I19" s="41">
        <v>2</v>
      </c>
      <c r="J19" s="43" t="s">
        <v>37</v>
      </c>
      <c r="K19" s="45">
        <v>1800</v>
      </c>
      <c r="L19" s="191">
        <f t="shared" ref="L19:L53" si="0">K19*I19</f>
        <v>3600</v>
      </c>
      <c r="M19" s="204"/>
      <c r="N19" s="46"/>
    </row>
    <row r="20" spans="1:14" ht="14.1" customHeight="1" x14ac:dyDescent="0.2">
      <c r="A20" s="37" t="s">
        <v>39</v>
      </c>
      <c r="B20" s="38" t="s">
        <v>40</v>
      </c>
      <c r="C20" s="39"/>
      <c r="D20" s="40"/>
      <c r="E20" s="41">
        <v>700</v>
      </c>
      <c r="F20" s="41">
        <v>750</v>
      </c>
      <c r="G20" s="42" t="s">
        <v>36</v>
      </c>
      <c r="H20" s="43"/>
      <c r="I20" s="47">
        <v>1</v>
      </c>
      <c r="J20" s="43" t="s">
        <v>37</v>
      </c>
      <c r="K20" s="45">
        <v>16500</v>
      </c>
      <c r="L20" s="191">
        <f t="shared" si="0"/>
        <v>16500</v>
      </c>
      <c r="M20" s="204"/>
      <c r="N20" s="46"/>
    </row>
    <row r="21" spans="1:14" ht="14.1" customHeight="1" x14ac:dyDescent="0.2">
      <c r="A21" s="37"/>
      <c r="B21" s="38" t="s">
        <v>41</v>
      </c>
      <c r="C21" s="39"/>
      <c r="D21" s="43" t="s">
        <v>42</v>
      </c>
      <c r="E21" s="41"/>
      <c r="F21" s="41"/>
      <c r="G21" s="42"/>
      <c r="H21" s="43"/>
      <c r="I21" s="47">
        <v>1</v>
      </c>
      <c r="J21" s="43" t="s">
        <v>37</v>
      </c>
      <c r="K21" s="45">
        <v>1700</v>
      </c>
      <c r="L21" s="191">
        <f t="shared" si="0"/>
        <v>1700</v>
      </c>
      <c r="M21" s="204"/>
      <c r="N21" s="46"/>
    </row>
    <row r="22" spans="1:14" ht="14.1" customHeight="1" x14ac:dyDescent="0.2">
      <c r="A22" s="37" t="s">
        <v>43</v>
      </c>
      <c r="B22" s="38" t="s">
        <v>44</v>
      </c>
      <c r="C22" s="39"/>
      <c r="D22" s="40"/>
      <c r="E22" s="41">
        <v>400</v>
      </c>
      <c r="F22" s="41">
        <v>300</v>
      </c>
      <c r="G22" s="41">
        <v>250</v>
      </c>
      <c r="H22" s="43"/>
      <c r="I22" s="47">
        <v>1</v>
      </c>
      <c r="J22" s="43" t="s">
        <v>37</v>
      </c>
      <c r="K22" s="45">
        <v>7300</v>
      </c>
      <c r="L22" s="191">
        <f t="shared" si="0"/>
        <v>7300</v>
      </c>
      <c r="M22" s="204"/>
      <c r="N22" s="46"/>
    </row>
    <row r="23" spans="1:14" ht="14.1" customHeight="1" x14ac:dyDescent="0.2">
      <c r="A23" s="37" t="s">
        <v>45</v>
      </c>
      <c r="B23" s="38" t="s">
        <v>46</v>
      </c>
      <c r="C23" s="39"/>
      <c r="D23" s="40"/>
      <c r="E23" s="41">
        <v>1200</v>
      </c>
      <c r="F23" s="41">
        <v>750</v>
      </c>
      <c r="G23" s="41">
        <v>2000</v>
      </c>
      <c r="H23" s="43"/>
      <c r="I23" s="41">
        <v>2</v>
      </c>
      <c r="J23" s="43" t="s">
        <v>37</v>
      </c>
      <c r="K23" s="48">
        <v>52900</v>
      </c>
      <c r="L23" s="191">
        <f t="shared" si="0"/>
        <v>105800</v>
      </c>
      <c r="M23" s="203"/>
    </row>
    <row r="24" spans="1:14" ht="14.1" customHeight="1" x14ac:dyDescent="0.2">
      <c r="A24" s="37" t="s">
        <v>47</v>
      </c>
      <c r="B24" s="38" t="s">
        <v>48</v>
      </c>
      <c r="C24" s="39"/>
      <c r="D24" s="40"/>
      <c r="E24" s="41">
        <v>1200</v>
      </c>
      <c r="F24" s="41">
        <v>750</v>
      </c>
      <c r="G24" s="41">
        <v>2000</v>
      </c>
      <c r="H24" s="43"/>
      <c r="I24" s="41">
        <v>1</v>
      </c>
      <c r="J24" s="43" t="s">
        <v>37</v>
      </c>
      <c r="K24" s="48">
        <v>57900</v>
      </c>
      <c r="L24" s="191">
        <f t="shared" si="0"/>
        <v>57900</v>
      </c>
      <c r="M24" s="203"/>
    </row>
    <row r="25" spans="1:14" ht="14.1" customHeight="1" x14ac:dyDescent="0.2">
      <c r="A25" s="37" t="s">
        <v>49</v>
      </c>
      <c r="B25" s="38" t="s">
        <v>50</v>
      </c>
      <c r="C25" s="39"/>
      <c r="D25" s="40"/>
      <c r="E25" s="41">
        <v>1000</v>
      </c>
      <c r="F25" s="41">
        <v>750</v>
      </c>
      <c r="G25" s="42" t="s">
        <v>36</v>
      </c>
      <c r="H25" s="43"/>
      <c r="I25" s="41">
        <v>1</v>
      </c>
      <c r="J25" s="43" t="s">
        <v>37</v>
      </c>
      <c r="K25" s="45">
        <v>12750</v>
      </c>
      <c r="L25" s="191">
        <f t="shared" si="0"/>
        <v>12750</v>
      </c>
      <c r="M25" s="204"/>
      <c r="N25" s="46"/>
    </row>
    <row r="26" spans="1:14" ht="14.1" customHeight="1" x14ac:dyDescent="0.2">
      <c r="A26" s="37" t="s">
        <v>51</v>
      </c>
      <c r="B26" s="38" t="s">
        <v>52</v>
      </c>
      <c r="C26" s="39"/>
      <c r="D26" s="40"/>
      <c r="E26" s="41">
        <v>1000</v>
      </c>
      <c r="F26" s="41">
        <v>300</v>
      </c>
      <c r="G26" s="41">
        <v>250</v>
      </c>
      <c r="H26" s="43"/>
      <c r="I26" s="41">
        <v>1</v>
      </c>
      <c r="J26" s="43" t="s">
        <v>37</v>
      </c>
      <c r="K26" s="45">
        <v>3200</v>
      </c>
      <c r="L26" s="191">
        <f t="shared" si="0"/>
        <v>3200</v>
      </c>
      <c r="M26" s="204"/>
      <c r="N26" s="46"/>
    </row>
    <row r="27" spans="1:14" ht="14.1" customHeight="1" x14ac:dyDescent="0.2">
      <c r="A27" s="37" t="s">
        <v>53</v>
      </c>
      <c r="B27" s="38" t="s">
        <v>54</v>
      </c>
      <c r="C27" s="39"/>
      <c r="D27" s="40"/>
      <c r="E27" s="41">
        <v>1500</v>
      </c>
      <c r="F27" s="41">
        <v>750</v>
      </c>
      <c r="G27" s="42" t="s">
        <v>36</v>
      </c>
      <c r="H27" s="43"/>
      <c r="I27" s="41">
        <v>1</v>
      </c>
      <c r="J27" s="43" t="s">
        <v>37</v>
      </c>
      <c r="K27" s="45">
        <v>27000</v>
      </c>
      <c r="L27" s="191">
        <f t="shared" si="0"/>
        <v>27000</v>
      </c>
      <c r="M27" s="204"/>
      <c r="N27" s="46"/>
    </row>
    <row r="28" spans="1:14" ht="14.1" customHeight="1" x14ac:dyDescent="0.2">
      <c r="A28" s="37"/>
      <c r="B28" s="38" t="s">
        <v>41</v>
      </c>
      <c r="C28" s="39"/>
      <c r="D28" s="43" t="s">
        <v>42</v>
      </c>
      <c r="E28" s="41"/>
      <c r="F28" s="41"/>
      <c r="G28" s="42"/>
      <c r="H28" s="43"/>
      <c r="I28" s="41">
        <v>2</v>
      </c>
      <c r="J28" s="43" t="s">
        <v>37</v>
      </c>
      <c r="K28" s="45">
        <v>1700</v>
      </c>
      <c r="L28" s="191">
        <f t="shared" si="0"/>
        <v>3400</v>
      </c>
      <c r="M28" s="204"/>
      <c r="N28" s="46"/>
    </row>
    <row r="29" spans="1:14" ht="14.1" customHeight="1" x14ac:dyDescent="0.2">
      <c r="A29" s="37" t="s">
        <v>55</v>
      </c>
      <c r="B29" s="38" t="s">
        <v>44</v>
      </c>
      <c r="C29" s="39"/>
      <c r="D29" s="40"/>
      <c r="E29" s="41">
        <v>600</v>
      </c>
      <c r="F29" s="41">
        <v>400</v>
      </c>
      <c r="G29" s="41">
        <v>250</v>
      </c>
      <c r="H29" s="43"/>
      <c r="I29" s="41">
        <v>1</v>
      </c>
      <c r="J29" s="43" t="s">
        <v>37</v>
      </c>
      <c r="K29" s="45">
        <v>7900</v>
      </c>
      <c r="L29" s="191">
        <f t="shared" si="0"/>
        <v>7900</v>
      </c>
      <c r="M29" s="204"/>
      <c r="N29" s="46"/>
    </row>
    <row r="30" spans="1:14" ht="14.1" customHeight="1" x14ac:dyDescent="0.2">
      <c r="A30" s="37" t="s">
        <v>56</v>
      </c>
      <c r="B30" s="38" t="s">
        <v>50</v>
      </c>
      <c r="C30" s="39"/>
      <c r="D30" s="40"/>
      <c r="E30" s="41">
        <v>800</v>
      </c>
      <c r="F30" s="41">
        <v>750</v>
      </c>
      <c r="G30" s="42" t="s">
        <v>36</v>
      </c>
      <c r="H30" s="43"/>
      <c r="I30" s="41">
        <v>1</v>
      </c>
      <c r="J30" s="43" t="s">
        <v>37</v>
      </c>
      <c r="K30" s="45">
        <v>12000</v>
      </c>
      <c r="L30" s="191">
        <f t="shared" si="0"/>
        <v>12000</v>
      </c>
      <c r="M30" s="204"/>
      <c r="N30" s="46"/>
    </row>
    <row r="31" spans="1:14" ht="14.1" customHeight="1" x14ac:dyDescent="0.2">
      <c r="A31" s="37" t="s">
        <v>57</v>
      </c>
      <c r="B31" s="38" t="s">
        <v>52</v>
      </c>
      <c r="C31" s="39"/>
      <c r="D31" s="40"/>
      <c r="E31" s="41">
        <v>800</v>
      </c>
      <c r="F31" s="41">
        <v>300</v>
      </c>
      <c r="G31" s="41">
        <v>250</v>
      </c>
      <c r="H31" s="43"/>
      <c r="I31" s="41">
        <v>1</v>
      </c>
      <c r="J31" s="43" t="s">
        <v>37</v>
      </c>
      <c r="K31" s="45">
        <v>3000</v>
      </c>
      <c r="L31" s="191">
        <f t="shared" si="0"/>
        <v>3000</v>
      </c>
      <c r="M31" s="204"/>
      <c r="N31" s="46"/>
    </row>
    <row r="32" spans="1:14" ht="14.1" customHeight="1" x14ac:dyDescent="0.2">
      <c r="A32" s="37" t="s">
        <v>58</v>
      </c>
      <c r="B32" s="38" t="s">
        <v>59</v>
      </c>
      <c r="C32" s="39"/>
      <c r="D32" s="40"/>
      <c r="E32" s="41">
        <v>400</v>
      </c>
      <c r="F32" s="41">
        <v>750</v>
      </c>
      <c r="G32" s="42" t="s">
        <v>36</v>
      </c>
      <c r="H32" s="43"/>
      <c r="I32" s="41">
        <v>4</v>
      </c>
      <c r="J32" s="43" t="s">
        <v>37</v>
      </c>
      <c r="K32" s="45">
        <v>9000</v>
      </c>
      <c r="L32" s="191">
        <f t="shared" si="0"/>
        <v>36000</v>
      </c>
      <c r="M32" s="204"/>
      <c r="N32" s="46"/>
    </row>
    <row r="33" spans="1:15" ht="14.1" customHeight="1" x14ac:dyDescent="0.2">
      <c r="A33" s="37" t="s">
        <v>60</v>
      </c>
      <c r="B33" s="38" t="s">
        <v>61</v>
      </c>
      <c r="C33" s="39"/>
      <c r="D33" s="40"/>
      <c r="E33" s="41">
        <v>1500</v>
      </c>
      <c r="F33" s="41">
        <v>800</v>
      </c>
      <c r="G33" s="42" t="s">
        <v>62</v>
      </c>
      <c r="H33" s="43"/>
      <c r="I33" s="41">
        <v>1</v>
      </c>
      <c r="J33" s="43" t="s">
        <v>37</v>
      </c>
      <c r="K33" s="48">
        <v>44100</v>
      </c>
      <c r="L33" s="191">
        <f t="shared" si="0"/>
        <v>44100</v>
      </c>
      <c r="M33" s="204"/>
      <c r="N33" s="46"/>
    </row>
    <row r="34" spans="1:15" ht="14.1" customHeight="1" x14ac:dyDescent="0.2">
      <c r="A34" s="37" t="s">
        <v>63</v>
      </c>
      <c r="B34" s="38" t="s">
        <v>44</v>
      </c>
      <c r="C34" s="39"/>
      <c r="D34" s="40"/>
      <c r="E34" s="41">
        <v>400</v>
      </c>
      <c r="F34" s="41">
        <v>300</v>
      </c>
      <c r="G34" s="41">
        <v>200</v>
      </c>
      <c r="H34" s="43"/>
      <c r="I34" s="41">
        <v>1</v>
      </c>
      <c r="J34" s="43" t="s">
        <v>37</v>
      </c>
      <c r="K34" s="45">
        <v>7300</v>
      </c>
      <c r="L34" s="191">
        <f t="shared" si="0"/>
        <v>7300</v>
      </c>
      <c r="M34" s="204"/>
      <c r="N34" s="46"/>
    </row>
    <row r="35" spans="1:15" ht="14.1" customHeight="1" x14ac:dyDescent="0.2">
      <c r="A35" s="37" t="s">
        <v>64</v>
      </c>
      <c r="B35" s="38" t="s">
        <v>65</v>
      </c>
      <c r="C35" s="39"/>
      <c r="D35" s="40"/>
      <c r="E35" s="49">
        <v>290</v>
      </c>
      <c r="F35" s="41">
        <v>440</v>
      </c>
      <c r="G35" s="41">
        <v>285</v>
      </c>
      <c r="H35" s="43"/>
      <c r="I35" s="47">
        <v>3</v>
      </c>
      <c r="J35" s="43" t="s">
        <v>37</v>
      </c>
      <c r="K35" s="48">
        <v>99000</v>
      </c>
      <c r="L35" s="191">
        <f t="shared" si="0"/>
        <v>297000</v>
      </c>
      <c r="M35" s="203"/>
    </row>
    <row r="36" spans="1:15" ht="14.1" customHeight="1" x14ac:dyDescent="0.2">
      <c r="A36" s="37" t="s">
        <v>66</v>
      </c>
      <c r="B36" s="38" t="s">
        <v>67</v>
      </c>
      <c r="C36" s="39"/>
      <c r="D36" s="40"/>
      <c r="E36" s="41">
        <v>1500</v>
      </c>
      <c r="F36" s="41">
        <v>750</v>
      </c>
      <c r="G36" s="42" t="s">
        <v>36</v>
      </c>
      <c r="H36" s="43"/>
      <c r="I36" s="41">
        <v>1</v>
      </c>
      <c r="J36" s="43" t="s">
        <v>37</v>
      </c>
      <c r="K36" s="45">
        <v>15600</v>
      </c>
      <c r="L36" s="191">
        <f t="shared" si="0"/>
        <v>15600</v>
      </c>
      <c r="M36" s="204"/>
      <c r="N36" s="46"/>
    </row>
    <row r="37" spans="1:15" ht="14.1" customHeight="1" x14ac:dyDescent="0.2">
      <c r="A37" s="37" t="s">
        <v>68</v>
      </c>
      <c r="B37" s="38" t="s">
        <v>69</v>
      </c>
      <c r="C37" s="39"/>
      <c r="D37" s="43" t="s">
        <v>70</v>
      </c>
      <c r="E37" s="41"/>
      <c r="F37" s="41"/>
      <c r="G37" s="41"/>
      <c r="H37" s="43"/>
      <c r="I37" s="41">
        <v>2</v>
      </c>
      <c r="J37" s="43" t="s">
        <v>37</v>
      </c>
      <c r="K37" s="45">
        <v>8000</v>
      </c>
      <c r="L37" s="191">
        <f t="shared" si="0"/>
        <v>16000</v>
      </c>
      <c r="M37" s="204"/>
      <c r="N37" s="46"/>
    </row>
    <row r="38" spans="1:15" ht="14.1" customHeight="1" x14ac:dyDescent="0.2">
      <c r="A38" s="37" t="s">
        <v>71</v>
      </c>
      <c r="B38" s="38" t="s">
        <v>72</v>
      </c>
      <c r="C38" s="39"/>
      <c r="D38" s="43" t="s">
        <v>73</v>
      </c>
      <c r="E38" s="41">
        <v>900</v>
      </c>
      <c r="F38" s="41">
        <v>750</v>
      </c>
      <c r="G38" s="42">
        <v>500</v>
      </c>
      <c r="H38" s="43"/>
      <c r="I38" s="41">
        <v>1</v>
      </c>
      <c r="J38" s="43" t="s">
        <v>37</v>
      </c>
      <c r="K38" s="50" t="s">
        <v>74</v>
      </c>
      <c r="L38" s="193" t="s">
        <v>74</v>
      </c>
      <c r="M38" s="203"/>
    </row>
    <row r="39" spans="1:15" ht="14.1" customHeight="1" x14ac:dyDescent="0.2">
      <c r="A39" s="37" t="s">
        <v>75</v>
      </c>
      <c r="B39" s="38" t="s">
        <v>76</v>
      </c>
      <c r="C39" s="39"/>
      <c r="D39" s="43" t="s">
        <v>73</v>
      </c>
      <c r="E39" s="41">
        <v>610</v>
      </c>
      <c r="F39" s="41">
        <v>175</v>
      </c>
      <c r="G39" s="41">
        <v>185</v>
      </c>
      <c r="H39" s="43"/>
      <c r="I39" s="41">
        <v>1</v>
      </c>
      <c r="J39" s="43" t="s">
        <v>37</v>
      </c>
      <c r="K39" s="50" t="s">
        <v>74</v>
      </c>
      <c r="L39" s="193" t="s">
        <v>74</v>
      </c>
      <c r="M39" s="203"/>
    </row>
    <row r="40" spans="1:15" ht="14.1" customHeight="1" x14ac:dyDescent="0.2">
      <c r="A40" s="51" t="s">
        <v>77</v>
      </c>
      <c r="B40" s="52" t="s">
        <v>78</v>
      </c>
      <c r="C40" s="53"/>
      <c r="D40" s="54"/>
      <c r="E40" s="55">
        <v>1100</v>
      </c>
      <c r="F40" s="56">
        <v>750</v>
      </c>
      <c r="G40" s="57" t="s">
        <v>36</v>
      </c>
      <c r="H40" s="58"/>
      <c r="I40" s="56">
        <v>1</v>
      </c>
      <c r="J40" s="58" t="s">
        <v>37</v>
      </c>
      <c r="K40" s="59">
        <v>43500</v>
      </c>
      <c r="L40" s="194">
        <f t="shared" ref="L40" si="1">K40*I40</f>
        <v>43500</v>
      </c>
      <c r="M40" s="204"/>
      <c r="N40" s="46"/>
    </row>
    <row r="41" spans="1:15" ht="14.1" customHeight="1" x14ac:dyDescent="0.2">
      <c r="A41" s="60" t="s">
        <v>79</v>
      </c>
      <c r="B41" s="61" t="s">
        <v>80</v>
      </c>
      <c r="C41" s="62"/>
      <c r="D41" s="63"/>
      <c r="E41" s="64">
        <v>4800</v>
      </c>
      <c r="F41" s="65">
        <v>900</v>
      </c>
      <c r="G41" s="65">
        <v>500</v>
      </c>
      <c r="H41" s="66"/>
      <c r="I41" s="65">
        <v>1</v>
      </c>
      <c r="J41" s="66" t="s">
        <v>37</v>
      </c>
      <c r="K41" s="67">
        <v>88900</v>
      </c>
      <c r="L41" s="195">
        <f>K41*I41</f>
        <v>88900</v>
      </c>
      <c r="M41" s="204"/>
      <c r="N41" s="46"/>
    </row>
    <row r="42" spans="1:15" ht="14.1" customHeight="1" x14ac:dyDescent="0.2">
      <c r="A42" s="68" t="s">
        <v>81</v>
      </c>
      <c r="B42" s="69" t="s">
        <v>82</v>
      </c>
      <c r="C42" s="39"/>
      <c r="D42" s="40"/>
      <c r="E42" s="49"/>
      <c r="F42" s="41"/>
      <c r="G42" s="41"/>
      <c r="H42" s="43"/>
      <c r="I42" s="41">
        <v>1</v>
      </c>
      <c r="J42" s="43" t="s">
        <v>37</v>
      </c>
      <c r="K42" s="48">
        <v>176800</v>
      </c>
      <c r="L42" s="195">
        <f>K42*I42</f>
        <v>176800</v>
      </c>
      <c r="M42" s="203"/>
    </row>
    <row r="43" spans="1:15" s="17" customFormat="1" ht="14.1" customHeight="1" x14ac:dyDescent="0.2">
      <c r="A43" s="70" t="s">
        <v>83</v>
      </c>
      <c r="B43" s="71" t="s">
        <v>84</v>
      </c>
      <c r="C43" s="72"/>
      <c r="D43" s="73"/>
      <c r="E43" s="74">
        <v>8320</v>
      </c>
      <c r="F43" s="75">
        <v>260</v>
      </c>
      <c r="G43" s="75"/>
      <c r="H43" s="76"/>
      <c r="I43" s="75">
        <v>1</v>
      </c>
      <c r="J43" s="76" t="s">
        <v>37</v>
      </c>
      <c r="K43" s="77">
        <v>81000</v>
      </c>
      <c r="L43" s="196">
        <f t="shared" si="0"/>
        <v>81000</v>
      </c>
      <c r="M43" s="203" t="s">
        <v>85</v>
      </c>
      <c r="N43" s="78"/>
      <c r="O43" s="79"/>
    </row>
    <row r="44" spans="1:15" s="17" customFormat="1" ht="14.1" customHeight="1" x14ac:dyDescent="0.2">
      <c r="A44" s="70"/>
      <c r="B44" s="71" t="s">
        <v>86</v>
      </c>
      <c r="C44" s="72"/>
      <c r="D44" s="73"/>
      <c r="E44" s="74">
        <v>450</v>
      </c>
      <c r="F44" s="75">
        <v>450</v>
      </c>
      <c r="G44" s="75">
        <v>250</v>
      </c>
      <c r="H44" s="76"/>
      <c r="I44" s="75">
        <v>1</v>
      </c>
      <c r="J44" s="76" t="s">
        <v>37</v>
      </c>
      <c r="K44" s="77">
        <v>7000</v>
      </c>
      <c r="L44" s="196">
        <f t="shared" si="0"/>
        <v>7000</v>
      </c>
      <c r="M44" s="203" t="s">
        <v>87</v>
      </c>
      <c r="N44" s="78"/>
      <c r="O44" s="79"/>
    </row>
    <row r="45" spans="1:15" s="17" customFormat="1" ht="14.1" customHeight="1" x14ac:dyDescent="0.2">
      <c r="A45" s="70" t="s">
        <v>88</v>
      </c>
      <c r="B45" s="71" t="s">
        <v>89</v>
      </c>
      <c r="C45" s="72"/>
      <c r="D45" s="73"/>
      <c r="E45" s="74">
        <v>1500</v>
      </c>
      <c r="F45" s="75">
        <v>750</v>
      </c>
      <c r="G45" s="75">
        <v>850</v>
      </c>
      <c r="H45" s="76"/>
      <c r="I45" s="75">
        <v>1</v>
      </c>
      <c r="J45" s="76" t="s">
        <v>37</v>
      </c>
      <c r="K45" s="77">
        <v>18500</v>
      </c>
      <c r="L45" s="196">
        <f t="shared" si="0"/>
        <v>18500</v>
      </c>
      <c r="M45" s="203" t="s">
        <v>90</v>
      </c>
      <c r="N45" s="78"/>
      <c r="O45" s="79"/>
    </row>
    <row r="46" spans="1:15" s="17" customFormat="1" ht="14.1" customHeight="1" x14ac:dyDescent="0.2">
      <c r="A46" s="70" t="s">
        <v>91</v>
      </c>
      <c r="B46" s="71" t="s">
        <v>89</v>
      </c>
      <c r="C46" s="72"/>
      <c r="D46" s="73"/>
      <c r="E46" s="74">
        <v>1500</v>
      </c>
      <c r="F46" s="75">
        <v>600</v>
      </c>
      <c r="G46" s="75">
        <v>850</v>
      </c>
      <c r="H46" s="76"/>
      <c r="I46" s="75">
        <v>1</v>
      </c>
      <c r="J46" s="76" t="s">
        <v>37</v>
      </c>
      <c r="K46" s="77">
        <v>18500</v>
      </c>
      <c r="L46" s="196">
        <f t="shared" si="0"/>
        <v>18500</v>
      </c>
      <c r="M46" s="205"/>
      <c r="N46" s="78"/>
      <c r="O46" s="79"/>
    </row>
    <row r="47" spans="1:15" ht="14.1" customHeight="1" x14ac:dyDescent="0.2">
      <c r="A47" s="68" t="s">
        <v>92</v>
      </c>
      <c r="B47" s="69" t="s">
        <v>93</v>
      </c>
      <c r="C47" s="39"/>
      <c r="D47" s="40"/>
      <c r="E47" s="49">
        <v>1400</v>
      </c>
      <c r="F47" s="41">
        <v>300</v>
      </c>
      <c r="G47" s="41">
        <v>750</v>
      </c>
      <c r="H47" s="43"/>
      <c r="I47" s="41">
        <v>2</v>
      </c>
      <c r="J47" s="43" t="s">
        <v>37</v>
      </c>
      <c r="K47" s="45">
        <v>9000</v>
      </c>
      <c r="L47" s="191">
        <f t="shared" si="0"/>
        <v>18000</v>
      </c>
      <c r="M47" s="204"/>
      <c r="N47" s="46"/>
    </row>
    <row r="48" spans="1:15" ht="14.1" customHeight="1" x14ac:dyDescent="0.2">
      <c r="A48" s="68" t="s">
        <v>94</v>
      </c>
      <c r="B48" s="69" t="s">
        <v>93</v>
      </c>
      <c r="C48" s="39"/>
      <c r="D48" s="40"/>
      <c r="E48" s="49">
        <v>1800</v>
      </c>
      <c r="F48" s="41">
        <v>300</v>
      </c>
      <c r="G48" s="41">
        <v>750</v>
      </c>
      <c r="H48" s="43"/>
      <c r="I48" s="41">
        <v>1</v>
      </c>
      <c r="J48" s="43" t="s">
        <v>37</v>
      </c>
      <c r="K48" s="45">
        <v>11000</v>
      </c>
      <c r="L48" s="191">
        <f t="shared" si="0"/>
        <v>11000</v>
      </c>
      <c r="M48" s="204"/>
      <c r="N48" s="46"/>
    </row>
    <row r="49" spans="1:15" ht="14.1" customHeight="1" x14ac:dyDescent="0.2">
      <c r="A49" s="68" t="s">
        <v>95</v>
      </c>
      <c r="B49" s="69" t="s">
        <v>96</v>
      </c>
      <c r="C49" s="39"/>
      <c r="D49" s="40"/>
      <c r="E49" s="49">
        <v>700</v>
      </c>
      <c r="F49" s="41">
        <v>180</v>
      </c>
      <c r="G49" s="41">
        <v>100</v>
      </c>
      <c r="H49" s="43"/>
      <c r="I49" s="41">
        <v>1</v>
      </c>
      <c r="J49" s="43" t="s">
        <v>37</v>
      </c>
      <c r="K49" s="45">
        <v>8500</v>
      </c>
      <c r="L49" s="191">
        <f t="shared" si="0"/>
        <v>8500</v>
      </c>
      <c r="M49" s="204"/>
      <c r="N49" s="46"/>
    </row>
    <row r="50" spans="1:15" s="17" customFormat="1" ht="14.1" customHeight="1" x14ac:dyDescent="0.2">
      <c r="A50" s="70" t="s">
        <v>97</v>
      </c>
      <c r="B50" s="71" t="s">
        <v>98</v>
      </c>
      <c r="C50" s="72"/>
      <c r="D50" s="73"/>
      <c r="E50" s="74">
        <v>1140</v>
      </c>
      <c r="F50" s="75">
        <v>60</v>
      </c>
      <c r="G50" s="75">
        <v>235</v>
      </c>
      <c r="H50" s="76"/>
      <c r="I50" s="75">
        <v>1</v>
      </c>
      <c r="J50" s="76" t="s">
        <v>37</v>
      </c>
      <c r="K50" s="77">
        <v>3500</v>
      </c>
      <c r="L50" s="196">
        <f t="shared" si="0"/>
        <v>3500</v>
      </c>
      <c r="M50" s="203" t="s">
        <v>99</v>
      </c>
      <c r="N50" s="78"/>
      <c r="O50" s="79"/>
    </row>
    <row r="51" spans="1:15" ht="14.1" customHeight="1" x14ac:dyDescent="0.2">
      <c r="A51" s="21"/>
      <c r="B51" s="80" t="s">
        <v>100</v>
      </c>
      <c r="C51" s="81"/>
      <c r="D51" s="40"/>
      <c r="E51" s="49"/>
      <c r="F51" s="41"/>
      <c r="G51" s="41"/>
      <c r="H51" s="43"/>
      <c r="I51" s="49"/>
      <c r="J51" s="43"/>
      <c r="K51" s="45"/>
      <c r="L51" s="191"/>
      <c r="M51" s="203"/>
    </row>
    <row r="52" spans="1:15" ht="14.1" customHeight="1" x14ac:dyDescent="0.2">
      <c r="A52" s="82" t="s">
        <v>101</v>
      </c>
      <c r="B52" s="83" t="s">
        <v>102</v>
      </c>
      <c r="C52" s="81"/>
      <c r="D52" s="40"/>
      <c r="E52" s="49">
        <v>1920</v>
      </c>
      <c r="F52" s="41">
        <v>650</v>
      </c>
      <c r="G52" s="41">
        <v>850</v>
      </c>
      <c r="H52" s="43"/>
      <c r="I52" s="49">
        <v>2</v>
      </c>
      <c r="J52" s="43" t="s">
        <v>37</v>
      </c>
      <c r="K52" s="48">
        <v>17900</v>
      </c>
      <c r="L52" s="191">
        <f t="shared" si="0"/>
        <v>35800</v>
      </c>
      <c r="M52" s="203"/>
    </row>
    <row r="53" spans="1:15" ht="14.1" customHeight="1" x14ac:dyDescent="0.2">
      <c r="A53" s="82" t="s">
        <v>103</v>
      </c>
      <c r="B53" s="83" t="s">
        <v>104</v>
      </c>
      <c r="C53" s="81"/>
      <c r="D53" s="40"/>
      <c r="E53" s="49">
        <v>1800</v>
      </c>
      <c r="F53" s="41">
        <v>500</v>
      </c>
      <c r="G53" s="41">
        <v>1550</v>
      </c>
      <c r="H53" s="43"/>
      <c r="I53" s="49">
        <v>2</v>
      </c>
      <c r="J53" s="43" t="s">
        <v>37</v>
      </c>
      <c r="K53" s="45">
        <v>21300</v>
      </c>
      <c r="L53" s="191">
        <f t="shared" si="0"/>
        <v>42600</v>
      </c>
      <c r="M53" s="206"/>
      <c r="N53" s="46"/>
    </row>
    <row r="54" spans="1:15" ht="14.1" customHeight="1" x14ac:dyDescent="0.2">
      <c r="A54" s="84"/>
      <c r="B54" s="85"/>
      <c r="C54" s="86"/>
      <c r="D54" s="87"/>
      <c r="E54" s="88"/>
      <c r="F54" s="84"/>
      <c r="G54" s="84"/>
      <c r="H54" s="84"/>
      <c r="I54" s="88"/>
      <c r="J54" s="84"/>
      <c r="K54" s="89"/>
      <c r="L54" s="90"/>
    </row>
    <row r="55" spans="1:15" ht="14.1" customHeight="1" x14ac:dyDescent="0.2">
      <c r="A55" s="11"/>
      <c r="B55" s="12"/>
      <c r="C55" s="91"/>
      <c r="E55" s="92"/>
      <c r="F55" s="11"/>
      <c r="G55" s="11"/>
      <c r="H55" s="11"/>
      <c r="I55" s="92"/>
      <c r="J55" s="11"/>
      <c r="K55" s="93"/>
      <c r="L55" s="7"/>
    </row>
    <row r="56" spans="1:15" ht="14.1" customHeight="1" x14ac:dyDescent="0.2">
      <c r="A56" s="11"/>
      <c r="B56" s="12"/>
      <c r="C56" s="91"/>
      <c r="E56" s="92"/>
      <c r="F56" s="11"/>
      <c r="G56" s="11"/>
      <c r="H56" s="11"/>
      <c r="I56" s="92"/>
      <c r="J56" s="11"/>
      <c r="K56" s="93"/>
      <c r="L56" s="7"/>
    </row>
    <row r="57" spans="1:15" ht="14.1" customHeight="1" x14ac:dyDescent="0.2">
      <c r="A57" s="11"/>
      <c r="B57" s="12"/>
      <c r="C57" s="91"/>
      <c r="E57" s="92"/>
      <c r="F57" s="11"/>
      <c r="G57" s="11"/>
      <c r="H57" s="11"/>
      <c r="I57" s="92"/>
      <c r="J57" s="11"/>
      <c r="K57" s="7"/>
      <c r="L57" s="94" t="s">
        <v>105</v>
      </c>
    </row>
    <row r="58" spans="1:15" ht="14.1" customHeight="1" x14ac:dyDescent="0.2">
      <c r="A58" s="95" t="s">
        <v>32</v>
      </c>
      <c r="B58" s="96"/>
      <c r="C58" s="97"/>
      <c r="D58" s="98"/>
      <c r="E58" s="99"/>
      <c r="F58" s="100"/>
      <c r="G58" s="100"/>
      <c r="H58" s="100"/>
      <c r="I58" s="99"/>
      <c r="J58" s="100"/>
      <c r="K58" s="101"/>
      <c r="L58" s="102" t="s">
        <v>106</v>
      </c>
    </row>
    <row r="59" spans="1:15" s="18" customFormat="1" ht="14.1" customHeight="1" x14ac:dyDescent="0.2">
      <c r="A59" s="232" t="s">
        <v>22</v>
      </c>
      <c r="B59" s="234" t="s">
        <v>23</v>
      </c>
      <c r="C59" s="235"/>
      <c r="D59" s="236"/>
      <c r="E59" s="228" t="s">
        <v>24</v>
      </c>
      <c r="F59" s="228"/>
      <c r="G59" s="228"/>
      <c r="H59" s="229"/>
      <c r="I59" s="234" t="s">
        <v>25</v>
      </c>
      <c r="J59" s="236"/>
      <c r="K59" s="240" t="s">
        <v>26</v>
      </c>
      <c r="L59" s="242" t="s">
        <v>27</v>
      </c>
      <c r="M59" s="215" t="s">
        <v>190</v>
      </c>
      <c r="O59" s="19"/>
    </row>
    <row r="60" spans="1:15" ht="14.1" customHeight="1" thickBot="1" x14ac:dyDescent="0.25">
      <c r="A60" s="233"/>
      <c r="B60" s="237"/>
      <c r="C60" s="238"/>
      <c r="D60" s="239"/>
      <c r="E60" s="5" t="s">
        <v>28</v>
      </c>
      <c r="F60" s="5" t="s">
        <v>29</v>
      </c>
      <c r="G60" s="5" t="s">
        <v>30</v>
      </c>
      <c r="H60" s="20" t="s">
        <v>31</v>
      </c>
      <c r="I60" s="237"/>
      <c r="J60" s="239"/>
      <c r="K60" s="241"/>
      <c r="L60" s="243"/>
      <c r="M60" s="216"/>
    </row>
    <row r="61" spans="1:15" ht="14.1" customHeight="1" thickTop="1" x14ac:dyDescent="0.2">
      <c r="A61" s="103"/>
      <c r="B61" s="103"/>
      <c r="C61" s="4"/>
      <c r="D61" s="104"/>
      <c r="E61" s="4"/>
      <c r="F61" s="4"/>
      <c r="G61" s="4"/>
      <c r="H61" s="4"/>
      <c r="I61" s="103"/>
      <c r="J61" s="104"/>
      <c r="K61" s="105"/>
      <c r="L61" s="197"/>
      <c r="M61" s="202"/>
    </row>
    <row r="62" spans="1:15" ht="14.1" customHeight="1" x14ac:dyDescent="0.2">
      <c r="A62" s="106"/>
      <c r="B62" s="80" t="s">
        <v>107</v>
      </c>
      <c r="C62" s="107"/>
      <c r="D62" s="40"/>
      <c r="E62" s="49"/>
      <c r="F62" s="41"/>
      <c r="G62" s="41"/>
      <c r="H62" s="43"/>
      <c r="I62" s="49"/>
      <c r="J62" s="43"/>
      <c r="K62" s="45"/>
      <c r="L62" s="191"/>
      <c r="M62" s="203"/>
    </row>
    <row r="63" spans="1:15" s="17" customFormat="1" ht="14.1" customHeight="1" x14ac:dyDescent="0.2">
      <c r="A63" s="108" t="s">
        <v>108</v>
      </c>
      <c r="B63" s="109" t="s">
        <v>109</v>
      </c>
      <c r="C63" s="110"/>
      <c r="D63" s="111"/>
      <c r="E63" s="112">
        <v>1500</v>
      </c>
      <c r="F63" s="113">
        <v>750</v>
      </c>
      <c r="G63" s="114" t="s">
        <v>110</v>
      </c>
      <c r="H63" s="115"/>
      <c r="I63" s="112">
        <v>1</v>
      </c>
      <c r="J63" s="115" t="s">
        <v>37</v>
      </c>
      <c r="K63" s="116">
        <v>20000</v>
      </c>
      <c r="L63" s="198">
        <f t="shared" ref="L63:L73" si="2">K63*I63</f>
        <v>20000</v>
      </c>
      <c r="M63" s="205"/>
      <c r="N63" s="78"/>
      <c r="O63" s="79"/>
    </row>
    <row r="64" spans="1:15" ht="14.1" customHeight="1" x14ac:dyDescent="0.2">
      <c r="A64" s="106" t="s">
        <v>111</v>
      </c>
      <c r="B64" s="69" t="s">
        <v>112</v>
      </c>
      <c r="C64" s="107"/>
      <c r="D64" s="40"/>
      <c r="E64" s="49">
        <v>1450</v>
      </c>
      <c r="F64" s="41">
        <v>750</v>
      </c>
      <c r="G64" s="42" t="s">
        <v>110</v>
      </c>
      <c r="H64" s="43"/>
      <c r="I64" s="49">
        <v>1</v>
      </c>
      <c r="J64" s="43" t="s">
        <v>37</v>
      </c>
      <c r="K64" s="45">
        <v>25000</v>
      </c>
      <c r="L64" s="191">
        <f t="shared" si="2"/>
        <v>25000</v>
      </c>
      <c r="M64" s="204"/>
      <c r="N64" s="46"/>
    </row>
    <row r="65" spans="1:15" ht="14.1" customHeight="1" x14ac:dyDescent="0.2">
      <c r="A65" s="106"/>
      <c r="B65" s="117" t="s">
        <v>113</v>
      </c>
      <c r="C65" s="107"/>
      <c r="D65" s="43" t="s">
        <v>114</v>
      </c>
      <c r="E65" s="49"/>
      <c r="F65" s="41"/>
      <c r="G65" s="42"/>
      <c r="H65" s="43"/>
      <c r="I65" s="49">
        <v>1</v>
      </c>
      <c r="J65" s="43" t="s">
        <v>37</v>
      </c>
      <c r="K65" s="118">
        <v>21500</v>
      </c>
      <c r="L65" s="191">
        <f t="shared" si="2"/>
        <v>21500</v>
      </c>
      <c r="M65" s="204"/>
      <c r="N65" s="46"/>
    </row>
    <row r="66" spans="1:15" ht="14.1" customHeight="1" x14ac:dyDescent="0.2">
      <c r="A66" s="106"/>
      <c r="B66" s="69" t="s">
        <v>115</v>
      </c>
      <c r="C66" s="39"/>
      <c r="D66" s="43" t="s">
        <v>116</v>
      </c>
      <c r="E66" s="41"/>
      <c r="F66" s="41"/>
      <c r="G66" s="42"/>
      <c r="H66" s="43"/>
      <c r="I66" s="41">
        <v>1</v>
      </c>
      <c r="J66" s="43" t="s">
        <v>37</v>
      </c>
      <c r="K66" s="45">
        <v>7900</v>
      </c>
      <c r="L66" s="191">
        <f t="shared" si="2"/>
        <v>7900</v>
      </c>
      <c r="M66" s="204"/>
      <c r="N66" s="46"/>
    </row>
    <row r="67" spans="1:15" ht="14.1" customHeight="1" x14ac:dyDescent="0.2">
      <c r="A67" s="106" t="s">
        <v>117</v>
      </c>
      <c r="B67" s="69" t="s">
        <v>44</v>
      </c>
      <c r="C67" s="107"/>
      <c r="D67" s="40"/>
      <c r="E67" s="49">
        <v>600</v>
      </c>
      <c r="F67" s="41">
        <v>400</v>
      </c>
      <c r="G67" s="41">
        <v>250</v>
      </c>
      <c r="H67" s="43"/>
      <c r="I67" s="49">
        <v>1</v>
      </c>
      <c r="J67" s="43" t="s">
        <v>37</v>
      </c>
      <c r="K67" s="45">
        <v>7400</v>
      </c>
      <c r="L67" s="191">
        <f t="shared" si="2"/>
        <v>7400</v>
      </c>
      <c r="M67" s="204"/>
      <c r="N67" s="46"/>
    </row>
    <row r="68" spans="1:15" ht="14.1" customHeight="1" x14ac:dyDescent="0.2">
      <c r="A68" s="106" t="s">
        <v>118</v>
      </c>
      <c r="B68" s="69" t="s">
        <v>119</v>
      </c>
      <c r="C68" s="107"/>
      <c r="D68" s="43"/>
      <c r="E68" s="49"/>
      <c r="F68" s="41"/>
      <c r="G68" s="41"/>
      <c r="H68" s="43"/>
      <c r="I68" s="49">
        <v>1</v>
      </c>
      <c r="J68" s="43" t="s">
        <v>37</v>
      </c>
      <c r="K68" s="48">
        <v>139000</v>
      </c>
      <c r="L68" s="191">
        <f t="shared" si="2"/>
        <v>139000</v>
      </c>
      <c r="M68" s="204"/>
    </row>
    <row r="69" spans="1:15" ht="14.1" customHeight="1" x14ac:dyDescent="0.2">
      <c r="A69" s="106" t="s">
        <v>120</v>
      </c>
      <c r="B69" s="69" t="s">
        <v>121</v>
      </c>
      <c r="C69" s="107"/>
      <c r="D69" s="40"/>
      <c r="E69" s="49">
        <v>900</v>
      </c>
      <c r="F69" s="41">
        <v>900</v>
      </c>
      <c r="G69" s="41">
        <v>500</v>
      </c>
      <c r="H69" s="43"/>
      <c r="I69" s="49">
        <v>1</v>
      </c>
      <c r="J69" s="43" t="s">
        <v>37</v>
      </c>
      <c r="K69" s="45">
        <v>12000</v>
      </c>
      <c r="L69" s="191">
        <f t="shared" si="2"/>
        <v>12000</v>
      </c>
      <c r="M69" s="204"/>
      <c r="N69" s="46"/>
    </row>
    <row r="70" spans="1:15" ht="14.1" customHeight="1" x14ac:dyDescent="0.2">
      <c r="A70" s="106" t="s">
        <v>122</v>
      </c>
      <c r="B70" s="69" t="s">
        <v>123</v>
      </c>
      <c r="C70" s="107"/>
      <c r="D70" s="40"/>
      <c r="E70" s="49">
        <v>1300</v>
      </c>
      <c r="F70" s="41">
        <v>750</v>
      </c>
      <c r="G70" s="42" t="s">
        <v>110</v>
      </c>
      <c r="H70" s="43"/>
      <c r="I70" s="49">
        <v>1</v>
      </c>
      <c r="J70" s="43" t="s">
        <v>37</v>
      </c>
      <c r="K70" s="45">
        <v>17500</v>
      </c>
      <c r="L70" s="191">
        <f t="shared" si="2"/>
        <v>17500</v>
      </c>
      <c r="M70" s="204"/>
      <c r="N70" s="46"/>
    </row>
    <row r="71" spans="1:15" ht="14.1" customHeight="1" x14ac:dyDescent="0.2">
      <c r="A71" s="106" t="s">
        <v>124</v>
      </c>
      <c r="B71" s="69" t="s">
        <v>125</v>
      </c>
      <c r="C71" s="107"/>
      <c r="D71" s="40"/>
      <c r="E71" s="49">
        <v>1050</v>
      </c>
      <c r="F71" s="41">
        <v>505</v>
      </c>
      <c r="G71" s="41">
        <v>390</v>
      </c>
      <c r="H71" s="43"/>
      <c r="I71" s="49">
        <v>1</v>
      </c>
      <c r="J71" s="43" t="s">
        <v>37</v>
      </c>
      <c r="K71" s="45">
        <v>4800</v>
      </c>
      <c r="L71" s="191">
        <f t="shared" si="2"/>
        <v>4800</v>
      </c>
      <c r="M71" s="204"/>
      <c r="N71" s="46"/>
    </row>
    <row r="72" spans="1:15" s="17" customFormat="1" ht="14.1" customHeight="1" x14ac:dyDescent="0.2">
      <c r="A72" s="119" t="s">
        <v>126</v>
      </c>
      <c r="B72" s="71" t="s">
        <v>84</v>
      </c>
      <c r="C72" s="120"/>
      <c r="D72" s="73"/>
      <c r="E72" s="74">
        <v>1720</v>
      </c>
      <c r="F72" s="75">
        <v>260</v>
      </c>
      <c r="G72" s="75"/>
      <c r="H72" s="75"/>
      <c r="I72" s="121">
        <v>1</v>
      </c>
      <c r="J72" s="76" t="s">
        <v>37</v>
      </c>
      <c r="K72" s="77">
        <v>16900</v>
      </c>
      <c r="L72" s="196">
        <f t="shared" si="2"/>
        <v>16900</v>
      </c>
      <c r="M72" s="203" t="s">
        <v>127</v>
      </c>
      <c r="N72" s="78"/>
      <c r="O72" s="79"/>
    </row>
    <row r="73" spans="1:15" s="17" customFormat="1" ht="14.1" customHeight="1" x14ac:dyDescent="0.2">
      <c r="A73" s="119"/>
      <c r="B73" s="71" t="s">
        <v>86</v>
      </c>
      <c r="C73" s="72"/>
      <c r="D73" s="73"/>
      <c r="E73" s="74">
        <v>450</v>
      </c>
      <c r="F73" s="75">
        <v>450</v>
      </c>
      <c r="G73" s="75">
        <v>250</v>
      </c>
      <c r="H73" s="76"/>
      <c r="I73" s="75">
        <v>1</v>
      </c>
      <c r="J73" s="76" t="s">
        <v>37</v>
      </c>
      <c r="K73" s="77">
        <v>7000</v>
      </c>
      <c r="L73" s="196">
        <f t="shared" si="2"/>
        <v>7000</v>
      </c>
      <c r="M73" s="205" t="s">
        <v>87</v>
      </c>
      <c r="N73" s="78"/>
      <c r="O73" s="79"/>
    </row>
    <row r="74" spans="1:15" ht="14.1" customHeight="1" x14ac:dyDescent="0.2">
      <c r="A74" s="106" t="s">
        <v>128</v>
      </c>
      <c r="B74" s="69" t="s">
        <v>129</v>
      </c>
      <c r="C74" s="107"/>
      <c r="D74" s="40"/>
      <c r="E74" s="49">
        <v>1800</v>
      </c>
      <c r="F74" s="41">
        <v>500</v>
      </c>
      <c r="G74" s="41">
        <v>1550</v>
      </c>
      <c r="H74" s="41"/>
      <c r="I74" s="122">
        <v>1</v>
      </c>
      <c r="J74" s="43" t="s">
        <v>37</v>
      </c>
      <c r="K74" s="45">
        <v>23000</v>
      </c>
      <c r="L74" s="191">
        <f>K74*I74</f>
        <v>23000</v>
      </c>
      <c r="M74" s="204"/>
      <c r="N74" s="46"/>
    </row>
    <row r="75" spans="1:15" s="17" customFormat="1" ht="14.1" customHeight="1" x14ac:dyDescent="0.2">
      <c r="A75" s="119" t="s">
        <v>130</v>
      </c>
      <c r="B75" s="71" t="s">
        <v>98</v>
      </c>
      <c r="C75" s="120"/>
      <c r="D75" s="73"/>
      <c r="E75" s="74">
        <v>800</v>
      </c>
      <c r="F75" s="75">
        <v>107</v>
      </c>
      <c r="G75" s="75">
        <v>95</v>
      </c>
      <c r="H75" s="75"/>
      <c r="I75" s="121">
        <v>1</v>
      </c>
      <c r="J75" s="76" t="s">
        <v>37</v>
      </c>
      <c r="K75" s="77">
        <v>1500</v>
      </c>
      <c r="L75" s="196">
        <f t="shared" ref="L75" si="3">K75*I75</f>
        <v>1500</v>
      </c>
      <c r="M75" s="205" t="s">
        <v>87</v>
      </c>
      <c r="N75" s="78"/>
      <c r="O75" s="79"/>
    </row>
    <row r="76" spans="1:15" ht="14.1" customHeight="1" x14ac:dyDescent="0.2">
      <c r="A76" s="106"/>
      <c r="B76" s="80" t="s">
        <v>131</v>
      </c>
      <c r="C76" s="107"/>
      <c r="D76" s="40"/>
      <c r="E76" s="49"/>
      <c r="F76" s="41"/>
      <c r="G76" s="41"/>
      <c r="H76" s="41"/>
      <c r="I76" s="122"/>
      <c r="J76" s="43"/>
      <c r="K76" s="45"/>
      <c r="L76" s="191"/>
      <c r="M76" s="203"/>
    </row>
    <row r="77" spans="1:15" s="17" customFormat="1" ht="14.1" customHeight="1" x14ac:dyDescent="0.2">
      <c r="A77" s="123" t="s">
        <v>132</v>
      </c>
      <c r="B77" s="124" t="s">
        <v>133</v>
      </c>
      <c r="C77" s="75"/>
      <c r="D77" s="73"/>
      <c r="E77" s="75">
        <v>1600</v>
      </c>
      <c r="F77" s="75">
        <v>650</v>
      </c>
      <c r="G77" s="124">
        <v>850</v>
      </c>
      <c r="H77" s="75"/>
      <c r="I77" s="125">
        <v>1</v>
      </c>
      <c r="J77" s="126" t="s">
        <v>134</v>
      </c>
      <c r="K77" s="127">
        <v>26500</v>
      </c>
      <c r="L77" s="196">
        <f>K77*I77</f>
        <v>26500</v>
      </c>
      <c r="M77" s="203" t="s">
        <v>135</v>
      </c>
      <c r="N77" s="78"/>
      <c r="O77" s="79"/>
    </row>
    <row r="78" spans="1:15" ht="14.1" customHeight="1" x14ac:dyDescent="0.2">
      <c r="A78" s="128" t="s">
        <v>136</v>
      </c>
      <c r="B78" s="42" t="s">
        <v>137</v>
      </c>
      <c r="C78" s="41"/>
      <c r="D78" s="40"/>
      <c r="E78" s="41">
        <v>1500</v>
      </c>
      <c r="F78" s="41">
        <v>600</v>
      </c>
      <c r="G78" s="42" t="s">
        <v>36</v>
      </c>
      <c r="H78" s="41"/>
      <c r="I78" s="82">
        <v>1</v>
      </c>
      <c r="J78" s="129" t="s">
        <v>37</v>
      </c>
      <c r="K78" s="130">
        <v>26500</v>
      </c>
      <c r="L78" s="191">
        <f t="shared" ref="L78:L87" si="4">K78*I78</f>
        <v>26500</v>
      </c>
      <c r="M78" s="204"/>
      <c r="N78" s="46"/>
    </row>
    <row r="79" spans="1:15" ht="14.1" customHeight="1" x14ac:dyDescent="0.2">
      <c r="A79" s="128"/>
      <c r="B79" s="69" t="s">
        <v>41</v>
      </c>
      <c r="C79" s="39"/>
      <c r="D79" s="43" t="s">
        <v>42</v>
      </c>
      <c r="E79" s="41"/>
      <c r="F79" s="41"/>
      <c r="G79" s="42"/>
      <c r="H79" s="41"/>
      <c r="I79" s="82">
        <v>1</v>
      </c>
      <c r="J79" s="129" t="s">
        <v>37</v>
      </c>
      <c r="K79" s="130">
        <v>1700</v>
      </c>
      <c r="L79" s="191">
        <f t="shared" si="4"/>
        <v>1700</v>
      </c>
      <c r="M79" s="204"/>
      <c r="N79" s="46"/>
    </row>
    <row r="80" spans="1:15" ht="14.1" customHeight="1" x14ac:dyDescent="0.2">
      <c r="A80" s="128" t="s">
        <v>138</v>
      </c>
      <c r="B80" s="42" t="s">
        <v>139</v>
      </c>
      <c r="C80" s="41"/>
      <c r="D80" s="40"/>
      <c r="E80" s="41">
        <v>500</v>
      </c>
      <c r="F80" s="41">
        <v>600</v>
      </c>
      <c r="G80" s="42" t="s">
        <v>36</v>
      </c>
      <c r="H80" s="41"/>
      <c r="I80" s="82">
        <v>3</v>
      </c>
      <c r="J80" s="129" t="s">
        <v>37</v>
      </c>
      <c r="K80" s="130">
        <v>22000</v>
      </c>
      <c r="L80" s="191">
        <f t="shared" si="4"/>
        <v>66000</v>
      </c>
      <c r="M80" s="204"/>
      <c r="N80" s="46"/>
    </row>
    <row r="81" spans="1:15" ht="14.1" customHeight="1" x14ac:dyDescent="0.2">
      <c r="A81" s="128" t="s">
        <v>140</v>
      </c>
      <c r="B81" s="131" t="s">
        <v>141</v>
      </c>
      <c r="C81" s="41"/>
      <c r="D81" s="40"/>
      <c r="E81" s="41">
        <v>1000</v>
      </c>
      <c r="F81" s="41">
        <v>600</v>
      </c>
      <c r="G81" s="42" t="s">
        <v>36</v>
      </c>
      <c r="H81" s="41"/>
      <c r="I81" s="82">
        <v>2</v>
      </c>
      <c r="J81" s="129" t="s">
        <v>37</v>
      </c>
      <c r="K81" s="130">
        <v>31500</v>
      </c>
      <c r="L81" s="191">
        <f>K81*I81</f>
        <v>63000</v>
      </c>
      <c r="M81" s="204"/>
      <c r="N81" s="46"/>
    </row>
    <row r="82" spans="1:15" s="17" customFormat="1" ht="14.1" customHeight="1" x14ac:dyDescent="0.2">
      <c r="A82" s="123" t="s">
        <v>142</v>
      </c>
      <c r="B82" s="132" t="s">
        <v>143</v>
      </c>
      <c r="C82" s="75"/>
      <c r="D82" s="73"/>
      <c r="E82" s="75">
        <v>1250</v>
      </c>
      <c r="F82" s="75">
        <v>600</v>
      </c>
      <c r="G82" s="124" t="s">
        <v>36</v>
      </c>
      <c r="H82" s="75"/>
      <c r="I82" s="125">
        <v>1</v>
      </c>
      <c r="J82" s="126" t="s">
        <v>37</v>
      </c>
      <c r="K82" s="127">
        <v>36500</v>
      </c>
      <c r="L82" s="196">
        <f>K82*I82</f>
        <v>36500</v>
      </c>
      <c r="M82" s="203" t="s">
        <v>144</v>
      </c>
      <c r="N82" s="78"/>
      <c r="O82" s="79"/>
    </row>
    <row r="83" spans="1:15" ht="14.1" customHeight="1" x14ac:dyDescent="0.2">
      <c r="A83" s="128" t="s">
        <v>145</v>
      </c>
      <c r="B83" s="131" t="s">
        <v>146</v>
      </c>
      <c r="C83" s="41"/>
      <c r="D83" s="40"/>
      <c r="E83" s="41">
        <v>500</v>
      </c>
      <c r="F83" s="41">
        <v>600</v>
      </c>
      <c r="G83" s="42" t="s">
        <v>36</v>
      </c>
      <c r="H83" s="41"/>
      <c r="I83" s="82">
        <v>1</v>
      </c>
      <c r="J83" s="129" t="s">
        <v>37</v>
      </c>
      <c r="K83" s="130">
        <v>18000</v>
      </c>
      <c r="L83" s="191">
        <f t="shared" si="4"/>
        <v>18000</v>
      </c>
      <c r="M83" s="204"/>
      <c r="N83" s="46"/>
    </row>
    <row r="84" spans="1:15" ht="14.1" customHeight="1" x14ac:dyDescent="0.2">
      <c r="A84" s="128"/>
      <c r="B84" s="38" t="s">
        <v>41</v>
      </c>
      <c r="C84" s="39"/>
      <c r="D84" s="43" t="s">
        <v>42</v>
      </c>
      <c r="E84" s="41"/>
      <c r="F84" s="41"/>
      <c r="G84" s="41"/>
      <c r="H84" s="41"/>
      <c r="I84" s="82">
        <v>1</v>
      </c>
      <c r="J84" s="133" t="s">
        <v>37</v>
      </c>
      <c r="K84" s="130">
        <v>1700</v>
      </c>
      <c r="L84" s="191">
        <f t="shared" si="4"/>
        <v>1700</v>
      </c>
      <c r="M84" s="204"/>
      <c r="N84" s="46"/>
    </row>
    <row r="85" spans="1:15" ht="14.1" customHeight="1" x14ac:dyDescent="0.2">
      <c r="A85" s="128" t="s">
        <v>147</v>
      </c>
      <c r="B85" s="131" t="s">
        <v>148</v>
      </c>
      <c r="C85" s="41"/>
      <c r="D85" s="40"/>
      <c r="E85" s="41">
        <v>1200</v>
      </c>
      <c r="F85" s="41">
        <v>600</v>
      </c>
      <c r="G85" s="42" t="s">
        <v>36</v>
      </c>
      <c r="H85" s="41"/>
      <c r="I85" s="82">
        <v>2</v>
      </c>
      <c r="J85" s="133" t="s">
        <v>37</v>
      </c>
      <c r="K85" s="130">
        <v>25500</v>
      </c>
      <c r="L85" s="191">
        <f t="shared" si="4"/>
        <v>51000</v>
      </c>
      <c r="M85" s="204"/>
      <c r="N85" s="46"/>
    </row>
    <row r="86" spans="1:15" ht="14.1" customHeight="1" x14ac:dyDescent="0.2">
      <c r="A86" s="128" t="s">
        <v>149</v>
      </c>
      <c r="B86" s="131" t="s">
        <v>150</v>
      </c>
      <c r="C86" s="41"/>
      <c r="D86" s="40"/>
      <c r="E86" s="41">
        <v>1800</v>
      </c>
      <c r="F86" s="41">
        <v>700</v>
      </c>
      <c r="G86" s="42" t="s">
        <v>36</v>
      </c>
      <c r="H86" s="41"/>
      <c r="I86" s="82">
        <v>2</v>
      </c>
      <c r="J86" s="133" t="s">
        <v>37</v>
      </c>
      <c r="K86" s="48">
        <v>35900</v>
      </c>
      <c r="L86" s="191">
        <f t="shared" si="4"/>
        <v>71800</v>
      </c>
      <c r="M86" s="203"/>
    </row>
    <row r="87" spans="1:15" ht="14.1" customHeight="1" x14ac:dyDescent="0.2">
      <c r="A87" s="128" t="s">
        <v>151</v>
      </c>
      <c r="B87" s="131" t="s">
        <v>152</v>
      </c>
      <c r="C87" s="41"/>
      <c r="D87" s="40"/>
      <c r="E87" s="41">
        <v>1800</v>
      </c>
      <c r="F87" s="41">
        <v>700</v>
      </c>
      <c r="G87" s="42" t="s">
        <v>36</v>
      </c>
      <c r="H87" s="41"/>
      <c r="I87" s="82">
        <v>2</v>
      </c>
      <c r="J87" s="133" t="s">
        <v>37</v>
      </c>
      <c r="K87" s="48">
        <v>45500</v>
      </c>
      <c r="L87" s="191">
        <f t="shared" si="4"/>
        <v>91000</v>
      </c>
      <c r="M87" s="203"/>
    </row>
    <row r="88" spans="1:15" s="17" customFormat="1" ht="14.1" customHeight="1" x14ac:dyDescent="0.2">
      <c r="A88" s="123" t="s">
        <v>153</v>
      </c>
      <c r="B88" s="71" t="s">
        <v>98</v>
      </c>
      <c r="C88" s="75"/>
      <c r="D88" s="76"/>
      <c r="E88" s="75">
        <v>550</v>
      </c>
      <c r="F88" s="75">
        <v>700</v>
      </c>
      <c r="G88" s="75">
        <v>40</v>
      </c>
      <c r="H88" s="134"/>
      <c r="I88" s="125">
        <v>1</v>
      </c>
      <c r="J88" s="135" t="s">
        <v>37</v>
      </c>
      <c r="K88" s="127">
        <v>3500</v>
      </c>
      <c r="L88" s="196">
        <f>K88*I88</f>
        <v>3500</v>
      </c>
      <c r="M88" s="205" t="s">
        <v>87</v>
      </c>
      <c r="N88" s="78"/>
      <c r="O88" s="79"/>
    </row>
    <row r="89" spans="1:15" ht="14.1" customHeight="1" x14ac:dyDescent="0.2">
      <c r="A89" s="128"/>
      <c r="B89" s="131"/>
      <c r="C89" s="41"/>
      <c r="D89" s="43"/>
      <c r="E89" s="41"/>
      <c r="F89" s="41"/>
      <c r="G89" s="41"/>
      <c r="H89" s="136"/>
      <c r="I89" s="82"/>
      <c r="J89" s="133"/>
      <c r="K89" s="130"/>
      <c r="L89" s="191"/>
      <c r="M89" s="203"/>
    </row>
    <row r="90" spans="1:15" ht="14.1" customHeight="1" x14ac:dyDescent="0.2">
      <c r="A90" s="21" t="s">
        <v>154</v>
      </c>
      <c r="B90" s="131" t="s">
        <v>155</v>
      </c>
      <c r="C90" s="107"/>
      <c r="D90" s="43" t="s">
        <v>156</v>
      </c>
      <c r="E90" s="49"/>
      <c r="F90" s="41"/>
      <c r="G90" s="41"/>
      <c r="H90" s="43"/>
      <c r="I90" s="49">
        <v>1</v>
      </c>
      <c r="J90" s="43" t="s">
        <v>37</v>
      </c>
      <c r="K90" s="137" t="s">
        <v>157</v>
      </c>
      <c r="L90" s="199" t="s">
        <v>157</v>
      </c>
      <c r="M90" s="203"/>
    </row>
    <row r="91" spans="1:15" ht="14.1" customHeight="1" x14ac:dyDescent="0.2">
      <c r="A91" s="138" t="s">
        <v>81</v>
      </c>
      <c r="B91" s="139" t="s">
        <v>158</v>
      </c>
      <c r="C91" s="140" t="s">
        <v>159</v>
      </c>
      <c r="D91" s="141"/>
      <c r="E91" s="142">
        <v>500</v>
      </c>
      <c r="F91" s="47">
        <v>700</v>
      </c>
      <c r="G91" s="47">
        <v>40</v>
      </c>
      <c r="H91" s="143"/>
      <c r="I91" s="142" t="s">
        <v>74</v>
      </c>
      <c r="J91" s="143" t="s">
        <v>37</v>
      </c>
      <c r="K91" s="144" t="s">
        <v>74</v>
      </c>
      <c r="L91" s="200" t="s">
        <v>74</v>
      </c>
      <c r="M91" s="203" t="s">
        <v>160</v>
      </c>
    </row>
    <row r="92" spans="1:15" ht="14.1" customHeight="1" x14ac:dyDescent="0.2">
      <c r="A92" s="21" t="s">
        <v>161</v>
      </c>
      <c r="B92" s="131" t="s">
        <v>158</v>
      </c>
      <c r="C92" s="107"/>
      <c r="D92" s="40"/>
      <c r="E92" s="49">
        <v>700</v>
      </c>
      <c r="F92" s="41">
        <v>700</v>
      </c>
      <c r="G92" s="41">
        <v>40</v>
      </c>
      <c r="H92" s="40"/>
      <c r="I92" s="49">
        <v>2</v>
      </c>
      <c r="J92" s="43" t="s">
        <v>37</v>
      </c>
      <c r="K92" s="45">
        <v>3200</v>
      </c>
      <c r="L92" s="191">
        <f t="shared" ref="L92:L95" si="5">K92*I92</f>
        <v>6400</v>
      </c>
      <c r="M92" s="204"/>
      <c r="N92" s="46"/>
    </row>
    <row r="93" spans="1:15" ht="14.1" customHeight="1" x14ac:dyDescent="0.2">
      <c r="A93" s="145" t="s">
        <v>162</v>
      </c>
      <c r="B93" s="146" t="s">
        <v>158</v>
      </c>
      <c r="C93" s="147" t="s">
        <v>163</v>
      </c>
      <c r="D93" s="26"/>
      <c r="E93" s="148">
        <v>200</v>
      </c>
      <c r="F93" s="149">
        <v>700</v>
      </c>
      <c r="G93" s="149">
        <v>40</v>
      </c>
      <c r="H93" s="26"/>
      <c r="I93" s="148">
        <v>6</v>
      </c>
      <c r="J93" s="23" t="s">
        <v>37</v>
      </c>
      <c r="K93" s="150">
        <v>1500</v>
      </c>
      <c r="L93" s="201">
        <f t="shared" si="5"/>
        <v>9000</v>
      </c>
      <c r="M93" s="204"/>
      <c r="N93" s="46"/>
    </row>
    <row r="94" spans="1:15" ht="14.1" customHeight="1" x14ac:dyDescent="0.2">
      <c r="A94" s="21" t="s">
        <v>164</v>
      </c>
      <c r="B94" s="131" t="s">
        <v>158</v>
      </c>
      <c r="C94" s="107"/>
      <c r="D94" s="40"/>
      <c r="E94" s="49">
        <v>300</v>
      </c>
      <c r="F94" s="41">
        <v>700</v>
      </c>
      <c r="G94" s="41">
        <v>40</v>
      </c>
      <c r="H94" s="40"/>
      <c r="I94" s="49">
        <v>2</v>
      </c>
      <c r="J94" s="43" t="s">
        <v>37</v>
      </c>
      <c r="K94" s="45">
        <v>1900</v>
      </c>
      <c r="L94" s="191">
        <f t="shared" si="5"/>
        <v>3800</v>
      </c>
      <c r="M94" s="204"/>
      <c r="N94" s="46"/>
    </row>
    <row r="95" spans="1:15" s="17" customFormat="1" ht="14.1" customHeight="1" x14ac:dyDescent="0.2">
      <c r="A95" s="151" t="s">
        <v>164</v>
      </c>
      <c r="B95" s="132" t="s">
        <v>158</v>
      </c>
      <c r="C95" s="120"/>
      <c r="D95" s="73"/>
      <c r="E95" s="74">
        <v>430</v>
      </c>
      <c r="F95" s="75">
        <v>700</v>
      </c>
      <c r="G95" s="75">
        <v>40</v>
      </c>
      <c r="H95" s="73"/>
      <c r="I95" s="74">
        <v>1</v>
      </c>
      <c r="J95" s="76" t="s">
        <v>37</v>
      </c>
      <c r="K95" s="77">
        <v>2700</v>
      </c>
      <c r="L95" s="196">
        <f t="shared" si="5"/>
        <v>2700</v>
      </c>
      <c r="M95" s="205" t="s">
        <v>87</v>
      </c>
      <c r="N95" s="78"/>
      <c r="O95" s="79"/>
    </row>
    <row r="96" spans="1:15" ht="14.1" customHeight="1" x14ac:dyDescent="0.2">
      <c r="A96" s="21"/>
      <c r="B96" s="83"/>
      <c r="C96" s="107"/>
      <c r="D96" s="40"/>
      <c r="E96" s="49"/>
      <c r="F96" s="41"/>
      <c r="G96" s="41"/>
      <c r="H96" s="43"/>
      <c r="I96" s="49"/>
      <c r="J96" s="43"/>
      <c r="K96" s="45"/>
      <c r="L96" s="191"/>
      <c r="M96" s="203"/>
    </row>
    <row r="97" spans="1:19" ht="14.1" customHeight="1" x14ac:dyDescent="0.2">
      <c r="A97" s="21"/>
      <c r="B97" s="83"/>
      <c r="C97" s="107"/>
      <c r="D97" s="43"/>
      <c r="E97" s="49"/>
      <c r="F97" s="41"/>
      <c r="G97" s="41"/>
      <c r="H97" s="43"/>
      <c r="I97" s="41"/>
      <c r="J97" s="43"/>
      <c r="K97" s="152"/>
      <c r="L97" s="191"/>
      <c r="M97" s="203"/>
    </row>
    <row r="98" spans="1:19" ht="14.1" customHeight="1" x14ac:dyDescent="0.2">
      <c r="A98" s="153"/>
      <c r="B98" s="154"/>
      <c r="C98" s="107"/>
      <c r="D98" s="43"/>
      <c r="E98" s="41"/>
      <c r="F98" s="41"/>
      <c r="G98" s="41"/>
      <c r="H98" s="43"/>
      <c r="I98" s="82"/>
      <c r="J98" s="43"/>
      <c r="K98" s="155" t="s">
        <v>165</v>
      </c>
      <c r="L98" s="207">
        <f>SUM(L16:L97)</f>
        <v>2086050</v>
      </c>
      <c r="M98" s="212"/>
    </row>
    <row r="99" spans="1:19" ht="14.1" customHeight="1" x14ac:dyDescent="0.2">
      <c r="A99" s="153"/>
      <c r="B99" s="154"/>
      <c r="C99" s="107"/>
      <c r="D99" s="43"/>
      <c r="E99" s="41"/>
      <c r="F99" s="41"/>
      <c r="G99" s="41"/>
      <c r="H99" s="43"/>
      <c r="I99" s="82"/>
      <c r="J99" s="43"/>
      <c r="K99" s="156"/>
      <c r="L99" s="208"/>
      <c r="M99" s="212"/>
    </row>
    <row r="100" spans="1:19" ht="14.1" customHeight="1" thickBot="1" x14ac:dyDescent="0.25">
      <c r="A100" s="153"/>
      <c r="B100" s="154"/>
      <c r="C100" s="107"/>
      <c r="D100" s="43"/>
      <c r="E100" s="41"/>
      <c r="F100" s="41"/>
      <c r="G100" s="41"/>
      <c r="H100" s="43"/>
      <c r="I100" s="82"/>
      <c r="J100" s="43"/>
      <c r="K100" s="157" t="s">
        <v>165</v>
      </c>
      <c r="L100" s="209">
        <f>L98-L99</f>
        <v>2086050</v>
      </c>
      <c r="M100" s="212"/>
    </row>
    <row r="101" spans="1:19" ht="14.1" customHeight="1" thickTop="1" x14ac:dyDescent="0.2">
      <c r="A101" s="158"/>
      <c r="B101" s="159"/>
      <c r="C101" s="160"/>
      <c r="D101" s="33"/>
      <c r="E101" s="34"/>
      <c r="F101" s="34"/>
      <c r="G101" s="34"/>
      <c r="H101" s="33"/>
      <c r="I101" s="161"/>
      <c r="J101" s="33"/>
      <c r="K101" s="162"/>
      <c r="L101" s="210"/>
      <c r="M101" s="212"/>
    </row>
    <row r="102" spans="1:19" ht="14.1" customHeight="1" x14ac:dyDescent="0.2">
      <c r="A102" s="21"/>
      <c r="B102" s="131" t="s">
        <v>166</v>
      </c>
      <c r="C102" s="41"/>
      <c r="D102" s="43"/>
      <c r="E102" s="41"/>
      <c r="F102" s="41"/>
      <c r="G102" s="41"/>
      <c r="H102" s="40"/>
      <c r="I102" s="82">
        <v>1</v>
      </c>
      <c r="J102" s="40" t="s">
        <v>167</v>
      </c>
      <c r="K102" s="163">
        <v>60000</v>
      </c>
      <c r="L102" s="190">
        <f>K102*I102</f>
        <v>60000</v>
      </c>
      <c r="M102" s="212"/>
    </row>
    <row r="103" spans="1:19" ht="14.1" customHeight="1" x14ac:dyDescent="0.2">
      <c r="A103" s="21"/>
      <c r="B103" s="131" t="s">
        <v>168</v>
      </c>
      <c r="C103" s="41"/>
      <c r="D103" s="43"/>
      <c r="E103" s="41"/>
      <c r="F103" s="41"/>
      <c r="G103" s="41"/>
      <c r="H103" s="40"/>
      <c r="I103" s="82"/>
      <c r="J103" s="40"/>
      <c r="K103" s="163"/>
      <c r="L103" s="190"/>
      <c r="M103" s="212"/>
    </row>
    <row r="104" spans="1:19" ht="14.1" customHeight="1" x14ac:dyDescent="0.2">
      <c r="A104" s="21"/>
      <c r="B104" s="154" t="s">
        <v>169</v>
      </c>
      <c r="C104" s="41"/>
      <c r="D104" s="43"/>
      <c r="E104" s="41"/>
      <c r="F104" s="41"/>
      <c r="G104" s="41"/>
      <c r="H104" s="40"/>
      <c r="I104" s="82"/>
      <c r="J104" s="40"/>
      <c r="K104" s="163"/>
      <c r="L104" s="190"/>
      <c r="M104" s="212"/>
    </row>
    <row r="105" spans="1:19" ht="14.1" customHeight="1" thickBot="1" x14ac:dyDescent="0.25">
      <c r="A105" s="164"/>
      <c r="B105" s="165"/>
      <c r="C105" s="166"/>
      <c r="D105" s="167"/>
      <c r="E105" s="168"/>
      <c r="F105" s="168"/>
      <c r="G105" s="168"/>
      <c r="H105" s="169"/>
      <c r="I105" s="170"/>
      <c r="J105" s="169"/>
      <c r="K105" s="171"/>
      <c r="L105" s="211"/>
      <c r="M105" s="212"/>
    </row>
    <row r="106" spans="1:19" ht="14.1" customHeight="1" thickTop="1" x14ac:dyDescent="0.2">
      <c r="A106" s="172" t="s">
        <v>170</v>
      </c>
      <c r="B106" s="173"/>
      <c r="C106" s="173"/>
      <c r="D106" s="173"/>
      <c r="E106" s="173"/>
      <c r="F106" s="173"/>
      <c r="G106" s="173"/>
      <c r="H106" s="173"/>
      <c r="I106" s="173"/>
      <c r="J106" s="174"/>
      <c r="K106" s="175" t="s">
        <v>165</v>
      </c>
      <c r="L106" s="176">
        <f>SUM(L100:L105)</f>
        <v>2146050</v>
      </c>
      <c r="M106" s="214"/>
      <c r="O106" s="177"/>
      <c r="R106" s="14"/>
      <c r="S106" s="14"/>
    </row>
    <row r="107" spans="1:19" ht="14.1" customHeight="1" x14ac:dyDescent="0.2">
      <c r="A107" s="178"/>
      <c r="B107" s="14"/>
      <c r="C107" s="14"/>
      <c r="D107" s="14"/>
      <c r="E107" s="14"/>
      <c r="F107" s="14"/>
      <c r="G107" s="14"/>
      <c r="H107" s="14"/>
      <c r="I107" s="14"/>
      <c r="J107" s="14"/>
      <c r="K107" s="179" t="s">
        <v>171</v>
      </c>
      <c r="L107" s="180">
        <f>L106*7%</f>
        <v>150223.5</v>
      </c>
      <c r="M107" s="212"/>
    </row>
    <row r="108" spans="1:19" ht="14.1" customHeight="1" x14ac:dyDescent="0.2">
      <c r="A108" s="227" t="str">
        <f>BAHTTEXT(L108)</f>
        <v>สองล้านสองแสนเก้าหมื่นหกพันสองร้อยเจ็ดสิบสามบาทห้าสิบสตางค์</v>
      </c>
      <c r="B108" s="228"/>
      <c r="C108" s="228"/>
      <c r="D108" s="228"/>
      <c r="E108" s="228"/>
      <c r="F108" s="228"/>
      <c r="G108" s="228"/>
      <c r="H108" s="228"/>
      <c r="I108" s="228"/>
      <c r="J108" s="229"/>
      <c r="K108" s="181" t="s">
        <v>172</v>
      </c>
      <c r="L108" s="182">
        <f>L106+L107</f>
        <v>2296273.5</v>
      </c>
      <c r="M108" s="212"/>
    </row>
    <row r="109" spans="1:19" ht="14.1" customHeight="1" x14ac:dyDescent="0.2">
      <c r="A109" s="183" t="s">
        <v>173</v>
      </c>
      <c r="B109" s="87" t="s">
        <v>174</v>
      </c>
      <c r="D109" s="219" t="s">
        <v>175</v>
      </c>
      <c r="E109" s="220"/>
      <c r="F109" s="220"/>
      <c r="G109" s="220"/>
      <c r="H109" s="220"/>
      <c r="I109" s="220"/>
      <c r="J109" s="221"/>
      <c r="K109" s="230"/>
      <c r="L109" s="231"/>
      <c r="M109" s="212"/>
    </row>
    <row r="110" spans="1:19" ht="14.1" customHeight="1" x14ac:dyDescent="0.2">
      <c r="A110" s="183" t="s">
        <v>176</v>
      </c>
      <c r="B110" s="186" t="s">
        <v>177</v>
      </c>
      <c r="D110" s="184"/>
      <c r="E110" s="11"/>
      <c r="F110" s="11"/>
      <c r="G110" s="11"/>
      <c r="H110" s="11"/>
      <c r="I110" s="11"/>
      <c r="J110" s="185"/>
      <c r="K110" s="219" t="s">
        <v>178</v>
      </c>
      <c r="L110" s="221"/>
      <c r="M110" s="212"/>
    </row>
    <row r="111" spans="1:19" ht="14.1" customHeight="1" x14ac:dyDescent="0.2">
      <c r="A111" s="183" t="s">
        <v>179</v>
      </c>
      <c r="B111" s="12" t="s">
        <v>180</v>
      </c>
      <c r="D111" s="219" t="s">
        <v>181</v>
      </c>
      <c r="E111" s="220"/>
      <c r="F111" s="220"/>
      <c r="G111" s="220"/>
      <c r="H111" s="220"/>
      <c r="I111" s="220"/>
      <c r="J111" s="221"/>
      <c r="K111" s="219"/>
      <c r="L111" s="221"/>
      <c r="M111" s="212"/>
    </row>
    <row r="112" spans="1:19" ht="14.1" customHeight="1" x14ac:dyDescent="0.2">
      <c r="A112" s="183"/>
      <c r="B112" s="12" t="s">
        <v>182</v>
      </c>
      <c r="D112" s="219" t="s">
        <v>183</v>
      </c>
      <c r="E112" s="220"/>
      <c r="F112" s="220"/>
      <c r="G112" s="220"/>
      <c r="H112" s="220"/>
      <c r="I112" s="220"/>
      <c r="J112" s="221"/>
      <c r="K112" s="219"/>
      <c r="L112" s="221"/>
      <c r="M112" s="212"/>
      <c r="N112" s="11"/>
      <c r="O112" s="187"/>
    </row>
    <row r="113" spans="1:15" ht="14.1" customHeight="1" x14ac:dyDescent="0.2">
      <c r="A113" s="183"/>
      <c r="B113" s="12" t="s">
        <v>184</v>
      </c>
      <c r="D113" s="184"/>
      <c r="E113" s="11"/>
      <c r="F113" s="11"/>
      <c r="G113" s="11"/>
      <c r="H113" s="11"/>
      <c r="I113" s="11"/>
      <c r="J113" s="185"/>
      <c r="K113" s="184"/>
      <c r="L113" s="185"/>
      <c r="M113" s="212"/>
      <c r="N113" s="11"/>
      <c r="O113" s="187"/>
    </row>
    <row r="114" spans="1:15" ht="14.1" customHeight="1" x14ac:dyDescent="0.2">
      <c r="A114" s="217" t="s">
        <v>185</v>
      </c>
      <c r="B114" s="218"/>
      <c r="C114" s="188"/>
      <c r="D114" s="219" t="s">
        <v>186</v>
      </c>
      <c r="E114" s="220"/>
      <c r="F114" s="220"/>
      <c r="G114" s="220"/>
      <c r="H114" s="220"/>
      <c r="I114" s="220"/>
      <c r="J114" s="221"/>
      <c r="K114" s="219" t="s">
        <v>191</v>
      </c>
      <c r="L114" s="221"/>
      <c r="M114" s="212"/>
      <c r="N114" s="220"/>
      <c r="O114" s="220"/>
    </row>
    <row r="115" spans="1:15" ht="14.1" customHeight="1" x14ac:dyDescent="0.2">
      <c r="A115" s="222" t="s">
        <v>187</v>
      </c>
      <c r="B115" s="223"/>
      <c r="C115" s="189"/>
      <c r="D115" s="224" t="s">
        <v>188</v>
      </c>
      <c r="E115" s="225"/>
      <c r="F115" s="225"/>
      <c r="G115" s="225"/>
      <c r="H115" s="225"/>
      <c r="I115" s="225"/>
      <c r="J115" s="226"/>
      <c r="K115" s="224" t="s">
        <v>189</v>
      </c>
      <c r="L115" s="226"/>
      <c r="M115" s="213"/>
    </row>
  </sheetData>
  <mergeCells count="29">
    <mergeCell ref="A5:L5"/>
    <mergeCell ref="A14:A15"/>
    <mergeCell ref="B14:D15"/>
    <mergeCell ref="E14:H14"/>
    <mergeCell ref="I14:J15"/>
    <mergeCell ref="K14:K15"/>
    <mergeCell ref="L14:L15"/>
    <mergeCell ref="N114:O114"/>
    <mergeCell ref="A115:B115"/>
    <mergeCell ref="D115:J115"/>
    <mergeCell ref="K115:L115"/>
    <mergeCell ref="A108:J108"/>
    <mergeCell ref="D109:J109"/>
    <mergeCell ref="K109:L109"/>
    <mergeCell ref="K110:L110"/>
    <mergeCell ref="D111:J111"/>
    <mergeCell ref="K111:L112"/>
    <mergeCell ref="D112:J112"/>
    <mergeCell ref="M14:M15"/>
    <mergeCell ref="M59:M60"/>
    <mergeCell ref="A114:B114"/>
    <mergeCell ref="D114:J114"/>
    <mergeCell ref="K114:L114"/>
    <mergeCell ref="A59:A60"/>
    <mergeCell ref="B59:D60"/>
    <mergeCell ref="E59:H59"/>
    <mergeCell ref="I59:J60"/>
    <mergeCell ref="K59:K60"/>
    <mergeCell ref="L59:L60"/>
  </mergeCells>
  <pageMargins left="0.7" right="0.7" top="0.75" bottom="0.75" header="0.3" footer="0.3"/>
  <pageSetup paperSize="9" scale="55" fitToHeight="0" orientation="portrait" r:id="rId1"/>
  <rowBreaks count="1" manualBreakCount="1">
    <brk id="56" max="12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19B34FAE73480943BF7178E82D42FB33" ma:contentTypeVersion="12" ma:contentTypeDescription="สร้างเอกสารใหม่" ma:contentTypeScope="" ma:versionID="68c133c1d2d6784bd9de693984f7b439">
  <xsd:schema xmlns:xsd="http://www.w3.org/2001/XMLSchema" xmlns:xs="http://www.w3.org/2001/XMLSchema" xmlns:p="http://schemas.microsoft.com/office/2006/metadata/properties" xmlns:ns2="9986669b-fefd-468c-82da-a846015310d9" xmlns:ns3="2eb14e35-6670-460b-95e8-dad5d6e4e903" targetNamespace="http://schemas.microsoft.com/office/2006/metadata/properties" ma:root="true" ma:fieldsID="8e32246f2629cfd2af2f792d6730633e" ns2:_="" ns3:_="">
    <xsd:import namespace="9986669b-fefd-468c-82da-a846015310d9"/>
    <xsd:import namespace="2eb14e35-6670-460b-95e8-dad5d6e4e9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86669b-fefd-468c-82da-a846015310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แท็กรูป" ma:readOnly="false" ma:fieldId="{5cf76f15-5ced-4ddc-b409-7134ff3c332f}" ma:taxonomyMulti="true" ma:sspId="bc9cfa0a-438a-4726-bb73-828d6e407d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b14e35-6670-460b-95e8-dad5d6e4e90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bcf2fa2-13a0-438e-8fbe-3a28f29f2557}" ma:internalName="TaxCatchAll" ma:showField="CatchAllData" ma:web="2eb14e35-6670-460b-95e8-dad5d6e4e9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eb14e35-6670-460b-95e8-dad5d6e4e903" xsi:nil="true"/>
    <lcf76f155ced4ddcb4097134ff3c332f xmlns="9986669b-fefd-468c-82da-a846015310d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DA99FA-708F-46A8-A758-4F22A7C9C9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86669b-fefd-468c-82da-a846015310d9"/>
    <ds:schemaRef ds:uri="2eb14e35-6670-460b-95e8-dad5d6e4e9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FA3F6E-BEBA-4F59-8139-B550265D89A4}">
  <ds:schemaRefs>
    <ds:schemaRef ds:uri="http://schemas.microsoft.com/office/2006/metadata/properties"/>
    <ds:schemaRef ds:uri="http://schemas.microsoft.com/office/infopath/2007/PartnerControls"/>
    <ds:schemaRef ds:uri="2eb14e35-6670-460b-95e8-dad5d6e4e903"/>
    <ds:schemaRef ds:uri="9986669b-fefd-468c-82da-a846015310d9"/>
  </ds:schemaRefs>
</ds:datastoreItem>
</file>

<file path=customXml/itemProps3.xml><?xml version="1.0" encoding="utf-8"?>
<ds:datastoreItem xmlns:ds="http://schemas.openxmlformats.org/officeDocument/2006/customXml" ds:itemID="{31F10271-D1B2-4C74-93DA-974F71A7249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Maestro Controls - info</dc:creator>
  <cp:lastModifiedBy>Pratchaya Seela</cp:lastModifiedBy>
  <cp:lastPrinted>2025-12-24T03:37:51Z</cp:lastPrinted>
  <dcterms:created xsi:type="dcterms:W3CDTF">2025-12-24T03:32:51Z</dcterms:created>
  <dcterms:modified xsi:type="dcterms:W3CDTF">2026-03-18T11:18:15Z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0x01010019B34FAE73480943BF7178E82D42FB33</vt:lpwstr>
  </property>
  <property fmtid="{D5CDD505-2E9C-101B-9397-08002B2CF9AE}" pid="3" name="MediaServiceImageTags">
    <vt:lpwstr/>
  </property>
</Properties>
</file>