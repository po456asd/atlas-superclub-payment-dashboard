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mpasia.sharepoint.com/sites/atlassuperclub/Shared Documents/White/2.Superclub Project/Superclub Site Memo/Memorandum R2 043 R.4/202602 Final Payment (CMP-ASC-MEMO-043 R.3)/202602 Final Payment Documents/5.VJ Group/"/>
    </mc:Choice>
  </mc:AlternateContent>
  <xr:revisionPtr revIDLastSave="1416" documentId="13_ncr:1_{E2AE011E-C34D-4E24-8558-4B1E52B9598F}" xr6:coauthVersionLast="47" xr6:coauthVersionMax="47" xr10:uidLastSave="{30BC635B-816A-4D39-B918-C813F4AA7ED2}"/>
  <bookViews>
    <workbookView xWindow="25695" yWindow="0" windowWidth="26010" windowHeight="20985" activeTab="1" xr2:uid="{FE830081-489F-4456-A1B5-6F6E57C2EAC9}"/>
  </bookViews>
  <sheets>
    <sheet name="ADISORN" sheetId="6" r:id="rId1"/>
    <sheet name="VJ Group" sheetId="4" r:id="rId2"/>
    <sheet name="MEASIA" sheetId="5" r:id="rId3"/>
    <sheet name="XTI" sheetId="8" r:id="rId4"/>
  </sheets>
  <definedNames>
    <definedName name="\a">#REF!</definedName>
    <definedName name="\b">#N/A</definedName>
    <definedName name="\c">#REF!</definedName>
    <definedName name="\d">#REF!</definedName>
    <definedName name="\e">#N/A</definedName>
    <definedName name="\f">#REF!</definedName>
    <definedName name="\h">#REF!</definedName>
    <definedName name="\i">#N/A</definedName>
    <definedName name="\l">#REF!</definedName>
    <definedName name="\m">#REF!</definedName>
    <definedName name="\n">#REF!</definedName>
    <definedName name="\nb">#REF!</definedName>
    <definedName name="\o">#N/A</definedName>
    <definedName name="\p">#N/A</definedName>
    <definedName name="\q">#N/A</definedName>
    <definedName name="\r">#REF!</definedName>
    <definedName name="\s">#REF!</definedName>
    <definedName name="\t">#REF!</definedName>
    <definedName name="\v">#REF!</definedName>
    <definedName name="\w">#N/A</definedName>
    <definedName name="\x">#REF!</definedName>
    <definedName name="\z">#N/A</definedName>
    <definedName name="\za">#N/A</definedName>
    <definedName name="\zb">#N/A</definedName>
    <definedName name="\zc">#REF!</definedName>
    <definedName name="\zz">#REF!</definedName>
    <definedName name="_" hidden="1">#REF!</definedName>
    <definedName name="___" hidden="1">#REF!</definedName>
    <definedName name="____" hidden="1">#REF!</definedName>
    <definedName name="_______________________a1" hidden="1">{"cashflow",#N/A,FALSE,"CASHFLOW "}</definedName>
    <definedName name="_______________________a10" hidden="1">{"sales",#N/A,FALSE,"SALES"}</definedName>
    <definedName name="_______________________a2" hidden="1">{"hilight1",#N/A,FALSE,"HILIGHT1"}</definedName>
    <definedName name="_______________________a3" hidden="1">{"hilight2",#N/A,FALSE,"HILIGHT2"}</definedName>
    <definedName name="_______________________a4" hidden="1">{"hilight3",#N/A,FALSE,"HILIGHT3"}</definedName>
    <definedName name="_______________________a5" hidden="1">{"income",#N/A,FALSE,"INCOME"}</definedName>
    <definedName name="_______________________a6" hidden="1">{"index",#N/A,FALSE,"INDEX"}</definedName>
    <definedName name="_______________________a7" hidden="1">{"PRINT_EST",#N/A,FALSE,"ESTMON"}</definedName>
    <definedName name="_______________________a8" hidden="1">{"revsale",#N/A,FALSE,"REV-ยุพดี"}</definedName>
    <definedName name="_______________________a9" hidden="1">{"revable",#N/A,FALSE,"REVABLE"}</definedName>
    <definedName name="_______________________V1" hidden="1">{"sales",#N/A,FALSE,"SALES"}</definedName>
    <definedName name="______________________a1" hidden="1">{"cashflow",#N/A,FALSE,"CASHFLOW "}</definedName>
    <definedName name="______________________a10" hidden="1">{"sales",#N/A,FALSE,"SALES"}</definedName>
    <definedName name="______________________a2" hidden="1">{"hilight1",#N/A,FALSE,"HILIGHT1"}</definedName>
    <definedName name="______________________a3" hidden="1">{"hilight2",#N/A,FALSE,"HILIGHT2"}</definedName>
    <definedName name="______________________a4" hidden="1">{"hilight3",#N/A,FALSE,"HILIGHT3"}</definedName>
    <definedName name="______________________a5" hidden="1">{"income",#N/A,FALSE,"INCOME"}</definedName>
    <definedName name="______________________a6" hidden="1">{"index",#N/A,FALSE,"INDEX"}</definedName>
    <definedName name="______________________a7" hidden="1">{"PRINT_EST",#N/A,FALSE,"ESTMON"}</definedName>
    <definedName name="______________________a8" hidden="1">{"revsale",#N/A,FALSE,"REV-ยุพดี"}</definedName>
    <definedName name="______________________a9" hidden="1">{"revable",#N/A,FALSE,"REVABLE"}</definedName>
    <definedName name="______________________V1" hidden="1">{"sales",#N/A,FALSE,"SALES"}</definedName>
    <definedName name="_____________________a1" hidden="1">{"cashflow",#N/A,FALSE,"CASHFLOW "}</definedName>
    <definedName name="_____________________a10" hidden="1">{"sales",#N/A,FALSE,"SALES"}</definedName>
    <definedName name="_____________________a2" hidden="1">{"hilight1",#N/A,FALSE,"HILIGHT1"}</definedName>
    <definedName name="_____________________a3" hidden="1">{"hilight2",#N/A,FALSE,"HILIGHT2"}</definedName>
    <definedName name="_____________________a4" hidden="1">{"hilight3",#N/A,FALSE,"HILIGHT3"}</definedName>
    <definedName name="_____________________a5" hidden="1">{"income",#N/A,FALSE,"INCOME"}</definedName>
    <definedName name="_____________________a6" hidden="1">{"index",#N/A,FALSE,"INDEX"}</definedName>
    <definedName name="_____________________a7" hidden="1">{"PRINT_EST",#N/A,FALSE,"ESTMON"}</definedName>
    <definedName name="_____________________a8" hidden="1">{"revsale",#N/A,FALSE,"REV-ยุพดี"}</definedName>
    <definedName name="_____________________a9" hidden="1">{"revable",#N/A,FALSE,"REVABLE"}</definedName>
    <definedName name="_____________________V1" hidden="1">{"sales",#N/A,FALSE,"SALES"}</definedName>
    <definedName name="____________________a1" hidden="1">{"cashflow",#N/A,FALSE,"CASHFLOW "}</definedName>
    <definedName name="____________________a10" hidden="1">{"sales",#N/A,FALSE,"SALES"}</definedName>
    <definedName name="____________________a2" hidden="1">{"hilight1",#N/A,FALSE,"HILIGHT1"}</definedName>
    <definedName name="____________________a3" hidden="1">{"hilight2",#N/A,FALSE,"HILIGHT2"}</definedName>
    <definedName name="____________________a4" hidden="1">{"hilight3",#N/A,FALSE,"HILIGHT3"}</definedName>
    <definedName name="____________________a5" hidden="1">{"income",#N/A,FALSE,"INCOME"}</definedName>
    <definedName name="____________________a6" hidden="1">{"index",#N/A,FALSE,"INDEX"}</definedName>
    <definedName name="____________________a7" hidden="1">{"PRINT_EST",#N/A,FALSE,"ESTMON"}</definedName>
    <definedName name="____________________a8" hidden="1">{"revsale",#N/A,FALSE,"REV-ยุพดี"}</definedName>
    <definedName name="____________________a9" hidden="1">{"revable",#N/A,FALSE,"REVABLE"}</definedName>
    <definedName name="____________________V1" hidden="1">{"sales",#N/A,FALSE,"SALES"}</definedName>
    <definedName name="___________________a1" hidden="1">{"cashflow",#N/A,FALSE,"CASHFLOW "}</definedName>
    <definedName name="___________________a10" hidden="1">{"sales",#N/A,FALSE,"SALES"}</definedName>
    <definedName name="___________________a2" hidden="1">{"hilight1",#N/A,FALSE,"HILIGHT1"}</definedName>
    <definedName name="___________________a3" hidden="1">{"hilight2",#N/A,FALSE,"HILIGHT2"}</definedName>
    <definedName name="___________________a4" hidden="1">{"hilight3",#N/A,FALSE,"HILIGHT3"}</definedName>
    <definedName name="___________________a5" hidden="1">{"income",#N/A,FALSE,"INCOME"}</definedName>
    <definedName name="___________________a6" hidden="1">{"index",#N/A,FALSE,"INDEX"}</definedName>
    <definedName name="___________________a7" hidden="1">{"PRINT_EST",#N/A,FALSE,"ESTMON"}</definedName>
    <definedName name="___________________a8" hidden="1">{"revsale",#N/A,FALSE,"REV-ยุพดี"}</definedName>
    <definedName name="___________________a9" hidden="1">{"revable",#N/A,FALSE,"REVABLE"}</definedName>
    <definedName name="___________________V1" hidden="1">{"sales",#N/A,FALSE,"SALES"}</definedName>
    <definedName name="__________________a1" hidden="1">{"cashflow",#N/A,FALSE,"CASHFLOW "}</definedName>
    <definedName name="__________________a10" hidden="1">{"sales",#N/A,FALSE,"SALES"}</definedName>
    <definedName name="__________________a2" hidden="1">{"hilight1",#N/A,FALSE,"HILIGHT1"}</definedName>
    <definedName name="__________________a3" hidden="1">{"hilight2",#N/A,FALSE,"HILIGHT2"}</definedName>
    <definedName name="__________________a4" hidden="1">{"hilight3",#N/A,FALSE,"HILIGHT3"}</definedName>
    <definedName name="__________________a5" hidden="1">{"income",#N/A,FALSE,"INCOME"}</definedName>
    <definedName name="__________________a6" hidden="1">{"index",#N/A,FALSE,"INDEX"}</definedName>
    <definedName name="__________________a7" hidden="1">{"PRINT_EST",#N/A,FALSE,"ESTMON"}</definedName>
    <definedName name="__________________a8" hidden="1">{"revsale",#N/A,FALSE,"REV-ยุพดี"}</definedName>
    <definedName name="__________________a9" hidden="1">{"revable",#N/A,FALSE,"REVABLE"}</definedName>
    <definedName name="__________________V1" hidden="1">{"sales",#N/A,FALSE,"SALES"}</definedName>
    <definedName name="_________________a1" hidden="1">{"cashflow",#N/A,FALSE,"CASHFLOW "}</definedName>
    <definedName name="_________________a10" hidden="1">{"sales",#N/A,FALSE,"SALES"}</definedName>
    <definedName name="_________________a2" hidden="1">{"hilight1",#N/A,FALSE,"HILIGHT1"}</definedName>
    <definedName name="_________________a3" hidden="1">{"hilight2",#N/A,FALSE,"HILIGHT2"}</definedName>
    <definedName name="_________________a4" hidden="1">{"hilight3",#N/A,FALSE,"HILIGHT3"}</definedName>
    <definedName name="_________________a5" hidden="1">{"income",#N/A,FALSE,"INCOME"}</definedName>
    <definedName name="_________________a6" hidden="1">{"index",#N/A,FALSE,"INDEX"}</definedName>
    <definedName name="_________________a7" hidden="1">{"PRINT_EST",#N/A,FALSE,"ESTMON"}</definedName>
    <definedName name="_________________a8" hidden="1">{"revsale",#N/A,FALSE,"REV-ยุพดี"}</definedName>
    <definedName name="_________________a9" hidden="1">{"revable",#N/A,FALSE,"REVABLE"}</definedName>
    <definedName name="_________________V1" hidden="1">{"sales",#N/A,FALSE,"SALES"}</definedName>
    <definedName name="________________a1" hidden="1">{"cashflow",#N/A,FALSE,"CASHFLOW "}</definedName>
    <definedName name="________________a10" hidden="1">{"sales",#N/A,FALSE,"SALES"}</definedName>
    <definedName name="________________a2" hidden="1">{"hilight1",#N/A,FALSE,"HILIGHT1"}</definedName>
    <definedName name="________________a3" hidden="1">{"hilight2",#N/A,FALSE,"HILIGHT2"}</definedName>
    <definedName name="________________a4" hidden="1">{"hilight3",#N/A,FALSE,"HILIGHT3"}</definedName>
    <definedName name="________________a5" hidden="1">{"income",#N/A,FALSE,"INCOME"}</definedName>
    <definedName name="________________a6" hidden="1">{"index",#N/A,FALSE,"INDEX"}</definedName>
    <definedName name="________________a7" hidden="1">{"PRINT_EST",#N/A,FALSE,"ESTMON"}</definedName>
    <definedName name="________________a8" hidden="1">{"revsale",#N/A,FALSE,"REV-ยุพดี"}</definedName>
    <definedName name="________________a9" hidden="1">{"revable",#N/A,FALSE,"REVABLE"}</definedName>
    <definedName name="________________M5" hidden="1">{#N/A,#N/A,TRUE,"SUM";#N/A,#N/A,TRUE,"EE";#N/A,#N/A,TRUE,"AC";#N/A,#N/A,TRUE,"SN"}</definedName>
    <definedName name="________________V1" hidden="1">{"sales",#N/A,FALSE,"SALES"}</definedName>
    <definedName name="_______________a1" hidden="1">{"cashflow",#N/A,FALSE,"CASHFLOW "}</definedName>
    <definedName name="_______________a10" hidden="1">{"sales",#N/A,FALSE,"SALES"}</definedName>
    <definedName name="_______________a2" hidden="1">{"hilight1",#N/A,FALSE,"HILIGHT1"}</definedName>
    <definedName name="_______________a3" hidden="1">{"hilight2",#N/A,FALSE,"HILIGHT2"}</definedName>
    <definedName name="_______________a4" hidden="1">{"hilight3",#N/A,FALSE,"HILIGHT3"}</definedName>
    <definedName name="_______________a5" hidden="1">{"income",#N/A,FALSE,"INCOME"}</definedName>
    <definedName name="_______________a6" hidden="1">{"index",#N/A,FALSE,"INDEX"}</definedName>
    <definedName name="_______________a7" hidden="1">{"PRINT_EST",#N/A,FALSE,"ESTMON"}</definedName>
    <definedName name="_______________a8" hidden="1">{"revsale",#N/A,FALSE,"REV-ยุพดี"}</definedName>
    <definedName name="_______________a9" hidden="1">{"revable",#N/A,FALSE,"REVABLE"}</definedName>
    <definedName name="_______________V1" hidden="1">{"sales",#N/A,FALSE,"SALES"}</definedName>
    <definedName name="______________a1" hidden="1">{"cashflow",#N/A,FALSE,"CASHFLOW "}</definedName>
    <definedName name="______________a10" hidden="1">{"sales",#N/A,FALSE,"SALES"}</definedName>
    <definedName name="______________a2" hidden="1">{"hilight1",#N/A,FALSE,"HILIGHT1"}</definedName>
    <definedName name="______________a3" hidden="1">{"hilight2",#N/A,FALSE,"HILIGHT2"}</definedName>
    <definedName name="______________a4" hidden="1">{"hilight3",#N/A,FALSE,"HILIGHT3"}</definedName>
    <definedName name="______________a5" hidden="1">{"income",#N/A,FALSE,"INCOME"}</definedName>
    <definedName name="______________a6" hidden="1">{"index",#N/A,FALSE,"INDEX"}</definedName>
    <definedName name="______________a7" hidden="1">{"PRINT_EST",#N/A,FALSE,"ESTMON"}</definedName>
    <definedName name="______________a8" hidden="1">{"revsale",#N/A,FALSE,"REV-ยุพดี"}</definedName>
    <definedName name="______________a9" hidden="1">{"revable",#N/A,FALSE,"REVABLE"}</definedName>
    <definedName name="______________V1" hidden="1">{"sales",#N/A,FALSE,"SALES"}</definedName>
    <definedName name="_____________a1" hidden="1">{"cashflow",#N/A,FALSE,"CASHFLOW "}</definedName>
    <definedName name="_____________a10" hidden="1">{"sales",#N/A,FALSE,"SALES"}</definedName>
    <definedName name="_____________a2" hidden="1">{"hilight1",#N/A,FALSE,"HILIGHT1"}</definedName>
    <definedName name="_____________a3" hidden="1">{"hilight2",#N/A,FALSE,"HILIGHT2"}</definedName>
    <definedName name="_____________a4" hidden="1">{"hilight3",#N/A,FALSE,"HILIGHT3"}</definedName>
    <definedName name="_____________a5" hidden="1">{"income",#N/A,FALSE,"INCOME"}</definedName>
    <definedName name="_____________a6" hidden="1">{"index",#N/A,FALSE,"INDEX"}</definedName>
    <definedName name="_____________a7" hidden="1">{"PRINT_EST",#N/A,FALSE,"ESTMON"}</definedName>
    <definedName name="_____________a8" hidden="1">{"revsale",#N/A,FALSE,"REV-ยุพดี"}</definedName>
    <definedName name="_____________a9" hidden="1">{"revable",#N/A,FALSE,"REVABLE"}</definedName>
    <definedName name="_____________M5" hidden="1">{#N/A,#N/A,TRUE,"SUM";#N/A,#N/A,TRUE,"EE";#N/A,#N/A,TRUE,"AC";#N/A,#N/A,TRUE,"SN"}</definedName>
    <definedName name="_____________V1" hidden="1">{"sales",#N/A,FALSE,"SALES"}</definedName>
    <definedName name="____________a1" hidden="1">{"cashflow",#N/A,FALSE,"CASHFLOW "}</definedName>
    <definedName name="____________a10" hidden="1">{"sales",#N/A,FALSE,"SALES"}</definedName>
    <definedName name="____________a2" hidden="1">{"hilight1",#N/A,FALSE,"HILIGHT1"}</definedName>
    <definedName name="____________a3" hidden="1">{"hilight2",#N/A,FALSE,"HILIGHT2"}</definedName>
    <definedName name="____________a4" hidden="1">{"hilight3",#N/A,FALSE,"HILIGHT3"}</definedName>
    <definedName name="____________a5" hidden="1">{"income",#N/A,FALSE,"INCOME"}</definedName>
    <definedName name="____________a6" hidden="1">{"index",#N/A,FALSE,"INDEX"}</definedName>
    <definedName name="____________a7" hidden="1">{"PRINT_EST",#N/A,FALSE,"ESTMON"}</definedName>
    <definedName name="____________a8" hidden="1">{"revsale",#N/A,FALSE,"REV-ยุพดี"}</definedName>
    <definedName name="____________a9" hidden="1">{"revable",#N/A,FALSE,"REVABLE"}</definedName>
    <definedName name="____________M5" hidden="1">{#N/A,#N/A,TRUE,"SUM";#N/A,#N/A,TRUE,"EE";#N/A,#N/A,TRUE,"AC";#N/A,#N/A,TRUE,"SN"}</definedName>
    <definedName name="____________ss1" hidden="1">{#N/A,#N/A,TRUE,"SUM";#N/A,#N/A,TRUE,"EE";#N/A,#N/A,TRUE,"AC";#N/A,#N/A,TRUE,"SN"}</definedName>
    <definedName name="____________V1" hidden="1">{"sales",#N/A,FALSE,"SALES"}</definedName>
    <definedName name="___________a1" hidden="1">{"cashflow",#N/A,FALSE,"CASHFLOW "}</definedName>
    <definedName name="___________a10" hidden="1">{"sales",#N/A,FALSE,"SALES"}</definedName>
    <definedName name="___________a2" hidden="1">{"hilight1",#N/A,FALSE,"HILIGHT1"}</definedName>
    <definedName name="___________a3" hidden="1">{"hilight2",#N/A,FALSE,"HILIGHT2"}</definedName>
    <definedName name="___________a4" hidden="1">{"hilight3",#N/A,FALSE,"HILIGHT3"}</definedName>
    <definedName name="___________a5" hidden="1">{"income",#N/A,FALSE,"INCOME"}</definedName>
    <definedName name="___________a6" hidden="1">{"index",#N/A,FALSE,"INDEX"}</definedName>
    <definedName name="___________a7" hidden="1">{"PRINT_EST",#N/A,FALSE,"ESTMON"}</definedName>
    <definedName name="___________a8" hidden="1">{"revsale",#N/A,FALSE,"REV-ยุพดี"}</definedName>
    <definedName name="___________a9" hidden="1">{"revable",#N/A,FALSE,"REVABLE"}</definedName>
    <definedName name="___________M5" hidden="1">{#N/A,#N/A,TRUE,"SUM";#N/A,#N/A,TRUE,"EE";#N/A,#N/A,TRUE,"AC";#N/A,#N/A,TRUE,"SN"}</definedName>
    <definedName name="___________V1" hidden="1">{"sales",#N/A,FALSE,"SALES"}</definedName>
    <definedName name="___________VE32" hidden="1">{#N/A,#N/A,TRUE,"Str.";#N/A,#N/A,TRUE,"Steel &amp; Roof";#N/A,#N/A,TRUE,"Arc.";#N/A,#N/A,TRUE,"Preliminary";#N/A,#N/A,TRUE,"Sum_Prelim"}</definedName>
    <definedName name="__________a1" hidden="1">{"cashflow",#N/A,FALSE,"CASHFLOW "}</definedName>
    <definedName name="__________a10" hidden="1">{"sales",#N/A,FALSE,"SALES"}</definedName>
    <definedName name="__________a2" hidden="1">{"hilight1",#N/A,FALSE,"HILIGHT1"}</definedName>
    <definedName name="__________a21" hidden="1">{"hilight1",#N/A,FALSE,"HILIGHT1"}</definedName>
    <definedName name="__________a212" hidden="1">{"revable",#N/A,FALSE,"REVABLE"}</definedName>
    <definedName name="__________a3" hidden="1">{"hilight2",#N/A,FALSE,"HILIGHT2"}</definedName>
    <definedName name="__________a4" hidden="1">{"hilight3",#N/A,FALSE,"HILIGHT3"}</definedName>
    <definedName name="__________a5" hidden="1">{"income",#N/A,FALSE,"INCOME"}</definedName>
    <definedName name="__________a6" hidden="1">{"index",#N/A,FALSE,"INDEX"}</definedName>
    <definedName name="__________a7" hidden="1">{"PRINT_EST",#N/A,FALSE,"ESTMON"}</definedName>
    <definedName name="__________a8" hidden="1">{"revsale",#N/A,FALSE,"REV-ยุพดี"}</definedName>
    <definedName name="__________a9" hidden="1">{"revable",#N/A,FALSE,"REVABLE"}</definedName>
    <definedName name="__________eee1" hidden="1">{"revsale",#N/A,FALSE,"REV-ยุพดี"}</definedName>
    <definedName name="__________lll1" hidden="1">{"sales",#N/A,FALSE,"SALES"}</definedName>
    <definedName name="__________M5" hidden="1">{#N/A,#N/A,TRUE,"SUM";#N/A,#N/A,TRUE,"EE";#N/A,#N/A,TRUE,"AC";#N/A,#N/A,TRUE,"SN"}</definedName>
    <definedName name="__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_V1" hidden="1">{"sales",#N/A,FALSE,"SALES"}</definedName>
    <definedName name="__________VE32" hidden="1">{#N/A,#N/A,TRUE,"Str.";#N/A,#N/A,TRUE,"Steel &amp; Roof";#N/A,#N/A,TRUE,"Arc.";#N/A,#N/A,TRUE,"Preliminary";#N/A,#N/A,TRUE,"Sum_Prelim"}</definedName>
    <definedName name="__________z1" hidden="1">{#N/A,#N/A,TRUE,"SUM";#N/A,#N/A,TRUE,"EE";#N/A,#N/A,TRUE,"AC";#N/A,#N/A,TRUE,"SN"}</definedName>
    <definedName name="_________a1" hidden="1">{"cashflow",#N/A,FALSE,"CASHFLOW "}</definedName>
    <definedName name="_________a10" hidden="1">{"sales",#N/A,FALSE,"SALES"}</definedName>
    <definedName name="_________a2" hidden="1">{"hilight1",#N/A,FALSE,"HILIGHT1"}</definedName>
    <definedName name="_________a21" hidden="1">{"hilight1",#N/A,FALSE,"HILIGHT1"}</definedName>
    <definedName name="_________a212" hidden="1">{"revable",#N/A,FALSE,"REVABLE"}</definedName>
    <definedName name="_________a3" hidden="1">{"hilight2",#N/A,FALSE,"HILIGHT2"}</definedName>
    <definedName name="_________a4" hidden="1">{"hilight3",#N/A,FALSE,"HILIGHT3"}</definedName>
    <definedName name="_________a5" hidden="1">{"income",#N/A,FALSE,"INCOME"}</definedName>
    <definedName name="_________a6" hidden="1">{"index",#N/A,FALSE,"INDEX"}</definedName>
    <definedName name="_________a7" hidden="1">{"PRINT_EST",#N/A,FALSE,"ESTMON"}</definedName>
    <definedName name="_________a8" hidden="1">{"revsale",#N/A,FALSE,"REV-ยุพดี"}</definedName>
    <definedName name="_________a9" hidden="1">{"revable",#N/A,FALSE,"REVABLE"}</definedName>
    <definedName name="_________eee1" hidden="1">{"revsale",#N/A,FALSE,"REV-ยุพดี"}</definedName>
    <definedName name="_________lll1" hidden="1">{"sales",#N/A,FALSE,"SALES"}</definedName>
    <definedName name="_________M5" hidden="1">{#N/A,#N/A,TRUE,"SUM";#N/A,#N/A,TRUE,"EE";#N/A,#N/A,TRUE,"AC";#N/A,#N/A,TRUE,"SN"}</definedName>
    <definedName name="_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_ss1" hidden="1">{#N/A,#N/A,TRUE,"SUM";#N/A,#N/A,TRUE,"EE";#N/A,#N/A,TRUE,"AC";#N/A,#N/A,TRUE,"SN"}</definedName>
    <definedName name="_________TP2">#REF!</definedName>
    <definedName name="_________V1" hidden="1">{"sales",#N/A,FALSE,"SALES"}</definedName>
    <definedName name="_________VE32" hidden="1">{#N/A,#N/A,TRUE,"Str.";#N/A,#N/A,TRUE,"Steel &amp; Roof";#N/A,#N/A,TRUE,"Arc.";#N/A,#N/A,TRUE,"Preliminary";#N/A,#N/A,TRUE,"Sum_Prelim"}</definedName>
    <definedName name="________a1" hidden="1">{"cashflow",#N/A,FALSE,"CASHFLOW "}</definedName>
    <definedName name="________a10" hidden="1">{"sales",#N/A,FALSE,"SALES"}</definedName>
    <definedName name="________a2" hidden="1">{"hilight1",#N/A,FALSE,"HILIGHT1"}</definedName>
    <definedName name="________a21" hidden="1">{"hilight1",#N/A,FALSE,"HILIGHT1"}</definedName>
    <definedName name="________a212" hidden="1">{"revable",#N/A,FALSE,"REVABLE"}</definedName>
    <definedName name="________a3" hidden="1">{"hilight2",#N/A,FALSE,"HILIGHT2"}</definedName>
    <definedName name="________a4" hidden="1">{"hilight3",#N/A,FALSE,"HILIGHT3"}</definedName>
    <definedName name="________a5" hidden="1">{"income",#N/A,FALSE,"INCOME"}</definedName>
    <definedName name="________a6" hidden="1">{"index",#N/A,FALSE,"INDEX"}</definedName>
    <definedName name="________a7" hidden="1">{"PRINT_EST",#N/A,FALSE,"ESTMON"}</definedName>
    <definedName name="________a8" hidden="1">{"revsale",#N/A,FALSE,"REV-ยุพดี"}</definedName>
    <definedName name="________a9" hidden="1">{"revable",#N/A,FALSE,"REVABLE"}</definedName>
    <definedName name="________eee1" hidden="1">{"revsale",#N/A,FALSE,"REV-ยุพดี"}</definedName>
    <definedName name="________lll1" hidden="1">{"sales",#N/A,FALSE,"SALES"}</definedName>
    <definedName name="________M5" hidden="1">{#N/A,#N/A,TRUE,"SUM";#N/A,#N/A,TRUE,"EE";#N/A,#N/A,TRUE,"AC";#N/A,#N/A,TRUE,"SN"}</definedName>
    <definedName name="_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_ss1" hidden="1">{#N/A,#N/A,TRUE,"SUM";#N/A,#N/A,TRUE,"EE";#N/A,#N/A,TRUE,"AC";#N/A,#N/A,TRUE,"SN"}</definedName>
    <definedName name="________V1" hidden="1">{"sales",#N/A,FALSE,"SALES"}</definedName>
    <definedName name="________VE32" hidden="1">{#N/A,#N/A,TRUE,"Str.";#N/A,#N/A,TRUE,"Steel &amp; Roof";#N/A,#N/A,TRUE,"Arc.";#N/A,#N/A,TRUE,"Preliminary";#N/A,#N/A,TRUE,"Sum_Prelim"}</definedName>
    <definedName name="________z1" hidden="1">{#N/A,#N/A,TRUE,"SUM";#N/A,#N/A,TRUE,"EE";#N/A,#N/A,TRUE,"AC";#N/A,#N/A,TRUE,"SN"}</definedName>
    <definedName name="_______a1" hidden="1">{"cashflow",#N/A,FALSE,"CASHFLOW "}</definedName>
    <definedName name="_______a10" hidden="1">{"sales",#N/A,FALSE,"SALES"}</definedName>
    <definedName name="_______a2" hidden="1">{"hilight1",#N/A,FALSE,"HILIGHT1"}</definedName>
    <definedName name="_______a21" hidden="1">{"hilight1",#N/A,FALSE,"HILIGHT1"}</definedName>
    <definedName name="_______a212" hidden="1">{"revable",#N/A,FALSE,"REVABLE"}</definedName>
    <definedName name="_______a3" hidden="1">{"hilight2",#N/A,FALSE,"HILIGHT2"}</definedName>
    <definedName name="_______a4" hidden="1">{"hilight3",#N/A,FALSE,"HILIGHT3"}</definedName>
    <definedName name="_______a5" hidden="1">{"income",#N/A,FALSE,"INCOME"}</definedName>
    <definedName name="_______a6" hidden="1">{"index",#N/A,FALSE,"INDEX"}</definedName>
    <definedName name="_______a7" hidden="1">{"PRINT_EST",#N/A,FALSE,"ESTMON"}</definedName>
    <definedName name="_______a8" hidden="1">{"revsale",#N/A,FALSE,"REV-ยุพดี"}</definedName>
    <definedName name="_______a9" hidden="1">{"revable",#N/A,FALSE,"REVABLE"}</definedName>
    <definedName name="_______ADD1">[0]!STOP2:[0]!STOP2E</definedName>
    <definedName name="_______ADD2">[0]!STOP:[0]!STOPE</definedName>
    <definedName name="_______eee1" hidden="1">{"revsale",#N/A,FALSE,"REV-ยุพดี"}</definedName>
    <definedName name="_______lll1" hidden="1">{"sales",#N/A,FALSE,"SALES"}</definedName>
    <definedName name="_______M5" hidden="1">{#N/A,#N/A,TRUE,"SUM";#N/A,#N/A,TRUE,"EE";#N/A,#N/A,TRUE,"AC";#N/A,#N/A,TRUE,"SN"}</definedName>
    <definedName name="_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_ss1" hidden="1">{#N/A,#N/A,TRUE,"SUM";#N/A,#N/A,TRUE,"EE";#N/A,#N/A,TRUE,"AC";#N/A,#N/A,TRUE,"SN"}</definedName>
    <definedName name="_______TP2">#REF!</definedName>
    <definedName name="_______V1" hidden="1">{"sales",#N/A,FALSE,"SALES"}</definedName>
    <definedName name="_______VE32" hidden="1">{#N/A,#N/A,TRUE,"Str.";#N/A,#N/A,TRUE,"Steel &amp; Roof";#N/A,#N/A,TRUE,"Arc.";#N/A,#N/A,TRUE,"Preliminary";#N/A,#N/A,TRUE,"Sum_Prelim"}</definedName>
    <definedName name="_______z1" hidden="1">{#N/A,#N/A,TRUE,"SUM";#N/A,#N/A,TRUE,"EE";#N/A,#N/A,TRUE,"AC";#N/A,#N/A,TRUE,"SN"}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21" hidden="1">{"hilight1",#N/A,FALSE,"HILIGHT1"}</definedName>
    <definedName name="______a212" hidden="1">{"revable",#N/A,FALSE,"REVABLE"}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_eee1" hidden="1">{"revsale",#N/A,FALSE,"REV-ยุพดี"}</definedName>
    <definedName name="______lll1" hidden="1">{"sales",#N/A,FALSE,"SALES"}</definedName>
    <definedName name="______M5" hidden="1">{#N/A,#N/A,TRUE,"SUM";#N/A,#N/A,TRUE,"EE";#N/A,#N/A,TRUE,"AC";#N/A,#N/A,TRUE,"SN"}</definedName>
    <definedName name="_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_ss1" hidden="1">{#N/A,#N/A,TRUE,"SUM";#N/A,#N/A,TRUE,"EE";#N/A,#N/A,TRUE,"AC";#N/A,#N/A,TRUE,"SN"}</definedName>
    <definedName name="______TP2">#REF!</definedName>
    <definedName name="______V1" hidden="1">{"sales",#N/A,FALSE,"SALES"}</definedName>
    <definedName name="______VE32" hidden="1">{#N/A,#N/A,TRUE,"Str.";#N/A,#N/A,TRUE,"Steel &amp; Roof";#N/A,#N/A,TRUE,"Arc.";#N/A,#N/A,TRUE,"Preliminary";#N/A,#N/A,TRUE,"Sum_Prelim"}</definedName>
    <definedName name="______z1" hidden="1">{#N/A,#N/A,TRUE,"SUM";#N/A,#N/A,TRUE,"EE";#N/A,#N/A,TRUE,"AC";#N/A,#N/A,TRUE,"SN"}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21" hidden="1">{"hilight1",#N/A,FALSE,"HILIGHT1"}</definedName>
    <definedName name="_____a212" hidden="1">{"revable",#N/A,FALSE,"REVABLE"}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_ADD1">#N/A</definedName>
    <definedName name="_____ADD2">#N/A</definedName>
    <definedName name="_____bb2" hidden="1">{#N/A,#N/A,TRUE,"SUM";#N/A,#N/A,TRUE,"EE";#N/A,#N/A,TRUE,"AC";#N/A,#N/A,TRUE,"SN"}</definedName>
    <definedName name="_____BOX2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2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9">#REF!</definedName>
    <definedName name="_____day2">#REF!</definedName>
    <definedName name="_____day3">#REF!</definedName>
    <definedName name="_____day4">#REF!</definedName>
    <definedName name="_____day5">#REF!</definedName>
    <definedName name="_____day6">#REF!</definedName>
    <definedName name="_____day7">#REF!</definedName>
    <definedName name="_____day8">#REF!</definedName>
    <definedName name="_____day9">#REF!</definedName>
    <definedName name="_____eee1" hidden="1">{"revsale",#N/A,FALSE,"REV-ยุพดี"}</definedName>
    <definedName name="_____lll1" hidden="1">{"sales",#N/A,FALSE,"SALES"}</definedName>
    <definedName name="_____M5" hidden="1">{#N/A,#N/A,TRUE,"SUM";#N/A,#N/A,TRUE,"EE";#N/A,#N/A,TRUE,"AC";#N/A,#N/A,TRUE,"SN"}</definedName>
    <definedName name="_____new2" hidden="1">{#N/A,#N/A,TRUE,"SUM";#N/A,#N/A,TRUE,"EE";#N/A,#N/A,TRUE,"AC";#N/A,#N/A,TRUE,"SN"}</definedName>
    <definedName name="_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s1" hidden="1">{#N/A,#N/A,TRUE,"SUM";#N/A,#N/A,TRUE,"EE";#N/A,#N/A,TRUE,"AC";#N/A,#N/A,TRUE,"SN"}</definedName>
    <definedName name="_____sub1">#REF!</definedName>
    <definedName name="_____SUM1">#REF!</definedName>
    <definedName name="_____SUM2">#REF!</definedName>
    <definedName name="_____SUM3">#REF!</definedName>
    <definedName name="_____TOP2">#REF!</definedName>
    <definedName name="_____TP2">#REF!</definedName>
    <definedName name="_____V1" hidden="1">{"sales",#N/A,FALSE,"SALES"}</definedName>
    <definedName name="_____VE32" hidden="1">{#N/A,#N/A,TRUE,"Str.";#N/A,#N/A,TRUE,"Steel &amp; Roof";#N/A,#N/A,TRUE,"Arc.";#N/A,#N/A,TRUE,"Preliminary";#N/A,#N/A,TRUE,"Sum_Prelim"}</definedName>
    <definedName name="_____WD2">#REF!</definedName>
    <definedName name="_____z1" hidden="1">{#N/A,#N/A,TRUE,"SUM";#N/A,#N/A,TRUE,"EE";#N/A,#N/A,TRUE,"AC";#N/A,#N/A,TRUE,"SN"}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21" hidden="1">{"hilight1",#N/A,FALSE,"HILIGHT1"}</definedName>
    <definedName name="____a212" hidden="1">{"revable",#N/A,FALSE,"REVABLE"}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ADD1">[0]!STOP2:[0]!STOP2E</definedName>
    <definedName name="____ADD2">[0]!STOP:[0]!STOPE</definedName>
    <definedName name="____bb2" hidden="1">{#N/A,#N/A,TRUE,"SUM";#N/A,#N/A,TRUE,"EE";#N/A,#N/A,TRUE,"AC";#N/A,#N/A,TRUE,"SN"}</definedName>
    <definedName name="____BOX2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2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9">#REF!</definedName>
    <definedName name="____day2">#REF!</definedName>
    <definedName name="____day3">#REF!</definedName>
    <definedName name="____day4">#REF!</definedName>
    <definedName name="____day5">#REF!</definedName>
    <definedName name="____day6">#REF!</definedName>
    <definedName name="____day7">#REF!</definedName>
    <definedName name="____day8">#REF!</definedName>
    <definedName name="____day9">#REF!</definedName>
    <definedName name="____eee1" hidden="1">{"revsale",#N/A,FALSE,"REV-ยุพดี"}</definedName>
    <definedName name="____lll1" hidden="1">{"sales",#N/A,FALSE,"SALES"}</definedName>
    <definedName name="____M5" hidden="1">{#N/A,#N/A,TRUE,"SUM";#N/A,#N/A,TRUE,"EE";#N/A,#N/A,TRUE,"AC";#N/A,#N/A,TRUE,"SN"}</definedName>
    <definedName name="____new2" hidden="1">{#N/A,#N/A,TRUE,"SUM";#N/A,#N/A,TRUE,"EE";#N/A,#N/A,TRUE,"AC";#N/A,#N/A,TRUE,"SN"}</definedName>
    <definedName name="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s1" hidden="1">{#N/A,#N/A,TRUE,"SUM";#N/A,#N/A,TRUE,"EE";#N/A,#N/A,TRUE,"AC";#N/A,#N/A,TRUE,"SN"}</definedName>
    <definedName name="____str1">#REF!</definedName>
    <definedName name="____str2">#REF!</definedName>
    <definedName name="____str3">#REF!</definedName>
    <definedName name="____sub1">#REF!</definedName>
    <definedName name="____SUM1">#REF!</definedName>
    <definedName name="____SUM2">#REF!</definedName>
    <definedName name="____SUM3">#REF!</definedName>
    <definedName name="____TOP2">#REF!</definedName>
    <definedName name="____TP2">#REF!</definedName>
    <definedName name="____V1" hidden="1">{"sales",#N/A,FALSE,"SALES"}</definedName>
    <definedName name="____VE32" hidden="1">{#N/A,#N/A,TRUE,"Str.";#N/A,#N/A,TRUE,"Steel &amp; Roof";#N/A,#N/A,TRUE,"Arc.";#N/A,#N/A,TRUE,"Preliminary";#N/A,#N/A,TRUE,"Sum_Prelim"}</definedName>
    <definedName name="____WD2">#REF!</definedName>
    <definedName name="____xlfn.BAHTTEXT" hidden="1">#NAME?</definedName>
    <definedName name="____z1" hidden="1">{#N/A,#N/A,TRUE,"SUM";#N/A,#N/A,TRUE,"EE";#N/A,#N/A,TRUE,"AC";#N/A,#N/A,TRUE,"SN"}</definedName>
    <definedName name="___1_0_0_F" hidden="1">#REF!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21" hidden="1">{"hilight1",#N/A,FALSE,"HILIGHT1"}</definedName>
    <definedName name="___a212" hidden="1">{"revable",#N/A,FALSE,"REVABLE"}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DD1">[0]!STOP2:[0]!STOP2E</definedName>
    <definedName name="___ADD2">[0]!STOP:[0]!STOPE</definedName>
    <definedName name="___bb2" hidden="1">{#N/A,#N/A,TRUE,"SUM";#N/A,#N/A,TRUE,"EE";#N/A,#N/A,TRUE,"AC";#N/A,#N/A,TRUE,"SN"}</definedName>
    <definedName name="___be2" hidden="1">{"CASH FLOW",#N/A,FALSE,"A"}</definedName>
    <definedName name="___BOX2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2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9">#REF!</definedName>
    <definedName name="___day2">#REF!</definedName>
    <definedName name="___day3">#REF!</definedName>
    <definedName name="___day4">#REF!</definedName>
    <definedName name="___day5">#REF!</definedName>
    <definedName name="___day6">#REF!</definedName>
    <definedName name="___day7">#REF!</definedName>
    <definedName name="___day8">#REF!</definedName>
    <definedName name="___day9">#REF!</definedName>
    <definedName name="___eee1" hidden="1">{"revsale",#N/A,FALSE,"REV-ยุพดี"}</definedName>
    <definedName name="___isp3" hidden="1">{"FTS",#N/A,FALSE,"E"}</definedName>
    <definedName name="___JJ10">#REF!</definedName>
    <definedName name="___JJ11">#REF!</definedName>
    <definedName name="___JJ12">#REF!</definedName>
    <definedName name="___JJ13">#REF!</definedName>
    <definedName name="___JJ14">#REF!</definedName>
    <definedName name="___JJ15">#REF!</definedName>
    <definedName name="___JJ16">#REF!</definedName>
    <definedName name="___JJ17">#REF!</definedName>
    <definedName name="___JJ2">#REF!</definedName>
    <definedName name="___JJ3">#REF!</definedName>
    <definedName name="___JJ4">#REF!</definedName>
    <definedName name="___JJ5">#REF!</definedName>
    <definedName name="___JJ6">#REF!</definedName>
    <definedName name="___JJ7">#REF!</definedName>
    <definedName name="___JJ8">#REF!</definedName>
    <definedName name="___JJ9">#REF!</definedName>
    <definedName name="___lll1" hidden="1">{"sales",#N/A,FALSE,"SALES"}</definedName>
    <definedName name="___M5" hidden="1">{#N/A,#N/A,TRUE,"SUM";#N/A,#N/A,TRUE,"EE";#N/A,#N/A,TRUE,"AC";#N/A,#N/A,TRUE,"SN"}</definedName>
    <definedName name="___new2" hidden="1">{#N/A,#N/A,TRUE,"SUM";#N/A,#N/A,TRUE,"EE";#N/A,#N/A,TRUE,"AC";#N/A,#N/A,TRUE,"SN"}</definedName>
    <definedName name="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s1" hidden="1">{#N/A,#N/A,TRUE,"SUM";#N/A,#N/A,TRUE,"EE";#N/A,#N/A,TRUE,"AC";#N/A,#N/A,TRUE,"SN"}</definedName>
    <definedName name="___str1">#REF!</definedName>
    <definedName name="___str2">#REF!</definedName>
    <definedName name="___str3">#REF!</definedName>
    <definedName name="___sub1">#REF!</definedName>
    <definedName name="___SUM1">#REF!</definedName>
    <definedName name="___SUM2">#REF!</definedName>
    <definedName name="___SUM3">#REF!</definedName>
    <definedName name="___TOP2">#REF!</definedName>
    <definedName name="___TP2">#REF!</definedName>
    <definedName name="___tsn1" hidden="1">{"PLANNING",#N/A,FALSE,"A"}</definedName>
    <definedName name="___V1" hidden="1">{"sales",#N/A,FALSE,"SALES"}</definedName>
    <definedName name="___VE32" hidden="1">{#N/A,#N/A,TRUE,"Str.";#N/A,#N/A,TRUE,"Steel &amp; Roof";#N/A,#N/A,TRUE,"Arc.";#N/A,#N/A,TRUE,"Preliminary";#N/A,#N/A,TRUE,"Sum_Prelim"}</definedName>
    <definedName name="___WD2">#REF!</definedName>
    <definedName name="___xlfn.BAHTTEXT" hidden="1">#NAME?</definedName>
    <definedName name="___xlnm.Print_Titles_2">#REF!</definedName>
    <definedName name="___z1" hidden="1">{#N/A,#N/A,TRUE,"SUM";#N/A,#N/A,TRUE,"EE";#N/A,#N/A,TRUE,"AC";#N/A,#N/A,TRUE,"SN"}</definedName>
    <definedName name="__1__123Graph_ACHART_1" hidden="1">#REF!</definedName>
    <definedName name="__1_0_0_F" hidden="1">#REF!</definedName>
    <definedName name="__123Graph_A" hidden="1">#REF!</definedName>
    <definedName name="__123Graph_D" hidden="1">#REF!</definedName>
    <definedName name="__123Graph_X" hidden="1">#REF!</definedName>
    <definedName name="__2__123Graph_ACHART_2" hidden="1">#REF!</definedName>
    <definedName name="__3__123Graph_BCHART_2" hidden="1">#REF!</definedName>
    <definedName name="__3_0_0_F" hidden="1">#REF!</definedName>
    <definedName name="__4__123Graph_CCHART_1" hidden="1">#REF!</definedName>
    <definedName name="__5__123Graph_DCHART_1" hidden="1">#REF!</definedName>
    <definedName name="__a1" hidden="1">{"cashflow",#N/A,FALSE,"CASHFLOW "}</definedName>
    <definedName name="__a10" hidden="1">{"sales",#N/A,FALSE,"SALES"}</definedName>
    <definedName name="__a2" hidden="1">{"hilight1",#N/A,FALSE,"HILIGHT1"}</definedName>
    <definedName name="__a21" hidden="1">{"hilight1",#N/A,FALSE,"HILIGHT1"}</definedName>
    <definedName name="__a212" hidden="1">{"revable",#N/A,FALSE,"REVABLE"}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DD1">[0]!STOP2:[0]!STOP2E</definedName>
    <definedName name="__ADD2">[0]!STOP:[0]!STOPE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b2" hidden="1">{#N/A,#N/A,TRUE,"SUM";#N/A,#N/A,TRUE,"EE";#N/A,#N/A,TRUE,"AC";#N/A,#N/A,TRUE,"SN"}</definedName>
    <definedName name="__be2" hidden="1">{"CASH FLOW",#N/A,FALSE,"A"}</definedName>
    <definedName name="__BOQ2" hidden="1">{#N/A,#N/A,FALSE,"OUTPUT SHEET "}</definedName>
    <definedName name="__BOX2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2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9">#REF!</definedName>
    <definedName name="__day2">#REF!</definedName>
    <definedName name="__day3">#REF!</definedName>
    <definedName name="__day4">#REF!</definedName>
    <definedName name="__day5">#REF!</definedName>
    <definedName name="__day6">#REF!</definedName>
    <definedName name="__day7">#REF!</definedName>
    <definedName name="__day8">#REF!</definedName>
    <definedName name="__day9">#REF!</definedName>
    <definedName name="__eee1" hidden="1">{"revsale",#N/A,FALSE,"REV-ยุพดี"}</definedName>
    <definedName name="__IntlFixup" hidden="1">TRUE</definedName>
    <definedName name="__isp3" hidden="1">{"FTS",#N/A,FALSE,"E"}</definedName>
    <definedName name="__IV377400">#REF!</definedName>
    <definedName name="__IV477400">#REF!</definedName>
    <definedName name="__IV66084">#REF!</definedName>
    <definedName name="__IV67740">#REF!</definedName>
    <definedName name="__IV68084">#REF!</definedName>
    <definedName name="__IV69045">#REF!</definedName>
    <definedName name="__IV70045">#REF!</definedName>
    <definedName name="__IV80045">#REF!</definedName>
    <definedName name="__IV87740">#REF!</definedName>
    <definedName name="__Iw5">#REF!</definedName>
    <definedName name="__JJ10">#REF!</definedName>
    <definedName name="__JJ11">#REF!</definedName>
    <definedName name="__JJ12">#REF!</definedName>
    <definedName name="__JJ13">#REF!</definedName>
    <definedName name="__JJ14">#REF!</definedName>
    <definedName name="__JJ15">#REF!</definedName>
    <definedName name="__JJ16">#REF!</definedName>
    <definedName name="__JJ17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J8">#REF!</definedName>
    <definedName name="__JJ9">#REF!</definedName>
    <definedName name="__lll1" hidden="1">{"sales",#N/A,FALSE,"SALES"}</definedName>
    <definedName name="__M5" hidden="1">{#N/A,#N/A,TRUE,"SUM";#N/A,#N/A,TRUE,"EE";#N/A,#N/A,TRUE,"AC";#N/A,#N/A,TRUE,"SN"}</definedName>
    <definedName name="__new2" hidden="1">{#N/A,#N/A,TRUE,"SUM";#N/A,#N/A,TRUE,"EE";#N/A,#N/A,TRUE,"AC";#N/A,#N/A,TRUE,"SN"}</definedName>
    <definedName name="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san2" hidden="1">{#N/A,#N/A,TRUE,"SUM";#N/A,#N/A,TRUE,"EE";#N/A,#N/A,TRUE,"AC";#N/A,#N/A,TRUE,"SN"}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s1" hidden="1">{#N/A,#N/A,TRUE,"SUM";#N/A,#N/A,TRUE,"EE";#N/A,#N/A,TRUE,"AC";#N/A,#N/A,TRUE,"SN"}</definedName>
    <definedName name="__str1">#REF!</definedName>
    <definedName name="__str2">#REF!</definedName>
    <definedName name="__str3">#REF!</definedName>
    <definedName name="__sub1">#REF!</definedName>
    <definedName name="__SUM1">#REF!</definedName>
    <definedName name="__SUM2">#REF!</definedName>
    <definedName name="__SUM3">#REF!</definedName>
    <definedName name="__TOL1">#REF!</definedName>
    <definedName name="__TOP2">#REF!</definedName>
    <definedName name="__TP2">#REF!</definedName>
    <definedName name="__tsn1" hidden="1">{"PLANNING",#N/A,FALSE,"A"}</definedName>
    <definedName name="__V1" hidden="1">{"sales",#N/A,FALSE,"SALES"}</definedName>
    <definedName name="__VE32" hidden="1">{#N/A,#N/A,TRUE,"Str.";#N/A,#N/A,TRUE,"Steel &amp; Roof";#N/A,#N/A,TRUE,"Arc.";#N/A,#N/A,TRUE,"Preliminary";#N/A,#N/A,TRUE,"Sum_Prelim"}</definedName>
    <definedName name="__WD2">#REF!</definedName>
    <definedName name="__xlfn.BAHTTEXT" hidden="1">#NAME?</definedName>
    <definedName name="__xlnm.Print_Titles_2">#REF!</definedName>
    <definedName name="__yy1" hidden="1">{"'QuotationCRPaint (3)'!$A$12:$B$15"}</definedName>
    <definedName name="__z1" hidden="1">{#N/A,#N/A,TRUE,"SUM";#N/A,#N/A,TRUE,"EE";#N/A,#N/A,TRUE,"AC";#N/A,#N/A,TRUE,"SN"}</definedName>
    <definedName name="_0000" hidden="1">{#N/A,#N/A,TRUE,"Str.";#N/A,#N/A,TRUE,"Steel &amp; Roof";#N/A,#N/A,TRUE,"Arc.";#N/A,#N/A,TRUE,"Preliminary";#N/A,#N/A,TRUE,"Sum_Prelim"}</definedName>
    <definedName name="_1">#REF!</definedName>
    <definedName name="_1__123Graph_ACHART_1" hidden="1">#REF!</definedName>
    <definedName name="_1_0_0_F" hidden="1">#REF!</definedName>
    <definedName name="_10">#REF!</definedName>
    <definedName name="_10______F" hidden="1">#REF!</definedName>
    <definedName name="_10Excel_BuiltIn_Print_Area_5">(#REF!,#REF!)</definedName>
    <definedName name="_11">#REF!</definedName>
    <definedName name="_11_0_0_F" hidden="1">#REF!</definedName>
    <definedName name="_11Excel_BuiltIn_Print_Area_5">(#REF!,#REF!)</definedName>
    <definedName name="_12">#REF!</definedName>
    <definedName name="_123Graph_D" hidden="1">#REF!</definedName>
    <definedName name="_12F" hidden="1">#REF!</definedName>
    <definedName name="_13">#REF!</definedName>
    <definedName name="_13Excel_BuiltIn_Print_Area_10_1_1_1_1_1_1_1_1">#REF!</definedName>
    <definedName name="_14">#REF!</definedName>
    <definedName name="_14_0_0_F" hidden="1">#REF!</definedName>
    <definedName name="_14Excel_BuiltIn_Print_Area_10_1_1_1_1_1_1_1_1">#REF!</definedName>
    <definedName name="_15">#REF!</definedName>
    <definedName name="_15_0_0_F" hidden="1">#REF!</definedName>
    <definedName name="_16">#REF!</definedName>
    <definedName name="_16Excel_BuiltIn_Print_Area_14_1_1_1">#REF!</definedName>
    <definedName name="_17">#REF!</definedName>
    <definedName name="_17Excel_BuiltIn_Print_Area_14_1_1_1">#REF!</definedName>
    <definedName name="_18">#REF!</definedName>
    <definedName name="_19">#REF!</definedName>
    <definedName name="_19Excel_BuiltIn_Print_Titles_10">#REF!</definedName>
    <definedName name="_1Excel_BuiltIn_Print_Area_15_1_1_1_1">#REF!</definedName>
    <definedName name="_1F" hidden="1">#REF!</definedName>
    <definedName name="_2">#REF!</definedName>
    <definedName name="_2______F" hidden="1">#REF!</definedName>
    <definedName name="_2__0_0_F" hidden="1">#REF!</definedName>
    <definedName name="_2__123Graph_ACHART_2" hidden="1">#REF!</definedName>
    <definedName name="_2_0_0_F" hidden="1">#REF!</definedName>
    <definedName name="_20">#REF!</definedName>
    <definedName name="_20Excel_BuiltIn_Print_Titles_10">#REF!</definedName>
    <definedName name="_25__123Graph_ACHART_1" hidden="1">#REF!</definedName>
    <definedName name="_27_0_0_F" hidden="1">#REF!</definedName>
    <definedName name="_2Excel_BuiltIn_Print_Area_1_1">#REF!</definedName>
    <definedName name="_2Excel_BuiltIn_Print_Area_16_1_1">#REF!</definedName>
    <definedName name="_3">#N/A</definedName>
    <definedName name="_3______F" hidden="1">#REF!</definedName>
    <definedName name="_3__123Graph_BCHART_2" hidden="1">#REF!</definedName>
    <definedName name="_3__123Graph_XCHART_1" hidden="1">#REF!</definedName>
    <definedName name="_3_0_0_F" hidden="1">#REF!</definedName>
    <definedName name="_31_0_0_F" hidden="1">#REF!</definedName>
    <definedName name="_3Excel_BuiltIn_Print_Area_12">#REF!</definedName>
    <definedName name="_3Excel_BuiltIn_Print_Area_16_1_1_1_1">#REF!</definedName>
    <definedName name="_3Excel_BuiltIn_Print_Titles_2_1">#REF!</definedName>
    <definedName name="_4.0___M_E_COST_BREAKDOWN">#REF!</definedName>
    <definedName name="_4.0___M_E_COST_BREAKDOWN___0">#REF!</definedName>
    <definedName name="_4__123Graph_CCHART_1" hidden="1">#REF!</definedName>
    <definedName name="_4__123Graph_XCHART_2" hidden="1">#REF!</definedName>
    <definedName name="_4_0_0_F" hidden="1">#REF!</definedName>
    <definedName name="_4Excel_BuiltIn_Print_Area_10_1">#REF!</definedName>
    <definedName name="_4Excel_BuiltIn_Print_Area_4_1_1_1">#REF!</definedName>
    <definedName name="_5______F" hidden="1">#REF!</definedName>
    <definedName name="_5__123Graph_DCHART_1" hidden="1">#REF!</definedName>
    <definedName name="_5_0_0_F" hidden="1">#REF!</definedName>
    <definedName name="_50__123Graph_BCHART_1" hidden="1">#REF!</definedName>
    <definedName name="_555lll">#REF!</definedName>
    <definedName name="_5Excel_BuiltIn_Print_Area_12_1_1">NA()</definedName>
    <definedName name="_5Excel_BuiltIn_Print_Titles_22_1_1_1">#REF!</definedName>
    <definedName name="_5F" hidden="1">#REF!</definedName>
    <definedName name="_6_0_0_F" hidden="1">#REF!</definedName>
    <definedName name="_6Excel_BuiltIn_Print_Area_3">#REF!</definedName>
    <definedName name="_6F" hidden="1">#REF!</definedName>
    <definedName name="_7_0_0_F" hidden="1">#REF!</definedName>
    <definedName name="_7F" hidden="1">#REF!</definedName>
    <definedName name="_8Excel_BuiltIn_Print_Titles_10_1">#REF!</definedName>
    <definedName name="_9_0_0_F" hidden="1">#REF!</definedName>
    <definedName name="_9Excel_BuiltIn_Print_Titles_9_1">#REF!</definedName>
    <definedName name="_a">#REF!</definedName>
    <definedName name="_a___0">#REF!</definedName>
    <definedName name="_a___4">#REF!</definedName>
    <definedName name="_a1" hidden="1">{"cashflow",#N/A,FALSE,"CASHFLOW "}</definedName>
    <definedName name="_a10" hidden="1">{"sales",#N/A,FALSE,"SALES"}</definedName>
    <definedName name="_a2" hidden="1">{"hilight1",#N/A,FALSE,"HILIGHT1"}</definedName>
    <definedName name="_a21" hidden="1">{"hilight1",#N/A,FALSE,"HILIGHT1"}</definedName>
    <definedName name="_a212" hidden="1">{"revable",#N/A,FALSE,"REVABLE"}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#N/A</definedName>
    <definedName name="_b1" hidden="1">{"cashflow",#N/A,FALSE,"CASHFLOW "}</definedName>
    <definedName name="_bb2" hidden="1">{#N/A,#N/A,TRUE,"SUM";#N/A,#N/A,TRUE,"EE";#N/A,#N/A,TRUE,"AC";#N/A,#N/A,TRUE,"SN"}</definedName>
    <definedName name="_BOQ2" hidden="1">{#N/A,#N/A,FALSE,"OUTPUT SHEET "}</definedName>
    <definedName name="_BOX2">#REF!</definedName>
    <definedName name="_c">#REF!</definedName>
    <definedName name="_c___0">#REF!</definedName>
    <definedName name="_c___4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2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d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9">#REF!</definedName>
    <definedName name="_day2">#REF!</definedName>
    <definedName name="_day3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OO1">#REF!</definedName>
    <definedName name="_DUM2">#REF!</definedName>
    <definedName name="_DUM3">#REF!</definedName>
    <definedName name="_DUM4">#REF!</definedName>
    <definedName name="_e">#N/A</definedName>
    <definedName name="_eee1" hidden="1">{"revsale",#N/A,FALSE,"REV-ยุพดี"}</definedName>
    <definedName name="_F2" hidden="1">{#N/A,#N/A,TRUE,"SUM";#N/A,#N/A,TRUE,"EE";#N/A,#N/A,TRUE,"AC";#N/A,#N/A,TRUE,"SN"}</definedName>
    <definedName name="_F21" hidden="1">{#N/A,#N/A,TRUE,"Str.";#N/A,#N/A,TRUE,"Steel &amp; Roof";#N/A,#N/A,TRUE,"Arc.";#N/A,#N/A,TRUE,"Preliminary";#N/A,#N/A,TRUE,"Sum_Prelim"}</definedName>
    <definedName name="_FAC1">#REF!</definedName>
    <definedName name="_Fill" hidden="1">#REF!</definedName>
    <definedName name="_xlnm._FilterDatabase" hidden="1">#REF!</definedName>
    <definedName name="_h">#REF!</definedName>
    <definedName name="_JJ10">#REF!</definedName>
    <definedName name="_JJ11">#REF!</definedName>
    <definedName name="_JJ12">#REF!</definedName>
    <definedName name="_JJ13">#REF!</definedName>
    <definedName name="_JJ14">#REF!</definedName>
    <definedName name="_JJ15">#REF!</definedName>
    <definedName name="_JJ16">#REF!</definedName>
    <definedName name="_JJ17">#REF!</definedName>
    <definedName name="_JJ2">#REF!</definedName>
    <definedName name="_JJ3">#REF!</definedName>
    <definedName name="_JJ4">#REF!</definedName>
    <definedName name="_JJ5">#REF!</definedName>
    <definedName name="_JJ6">#REF!</definedName>
    <definedName name="_JJ7">#REF!</definedName>
    <definedName name="_JJ8">#REF!</definedName>
    <definedName name="_JJ9">#REF!</definedName>
    <definedName name="_Key1" hidden="1">#REF!</definedName>
    <definedName name="_Key2" hidden="1">#REF!</definedName>
    <definedName name="_l">#REF!</definedName>
    <definedName name="_LD_FR_FCT">#REF!</definedName>
    <definedName name="_LL1">#REF!</definedName>
    <definedName name="_LL3">#REF!</definedName>
    <definedName name="_lll1" hidden="1">{"sales",#N/A,FALSE,"SALES"}</definedName>
    <definedName name="_LM_SUMMARY">#REF!</definedName>
    <definedName name="_M5" hidden="1">{#N/A,#N/A,TRUE,"SUM";#N/A,#N/A,TRUE,"EE";#N/A,#N/A,TRUE,"AC";#N/A,#N/A,TRUE,"SN"}</definedName>
    <definedName name="_MatInverse_In" hidden="1">#REF!</definedName>
    <definedName name="_NC1">#REF!</definedName>
    <definedName name="_NC2">#REF!</definedName>
    <definedName name="_NC3">#REF!</definedName>
    <definedName name="_new2" hidden="1">{#N/A,#N/A,TRUE,"SUM";#N/A,#N/A,TRUE,"EE";#N/A,#N/A,TRUE,"AC";#N/A,#N/A,TRUE,"SN"}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0</definedName>
    <definedName name="_Order2" hidden="1">255</definedName>
    <definedName name="_ordwre2" hidden="1">0</definedName>
    <definedName name="_p">#N/A</definedName>
    <definedName name="_Parse_In" hidden="1">#REF!</definedName>
    <definedName name="_Parse_Out" hidden="1">#REF!</definedName>
    <definedName name="_q">#N/A</definedName>
    <definedName name="_R">#REF!</definedName>
    <definedName name="_Regression_Int">1</definedName>
    <definedName name="_Regression_Out" hidden="1">#REF!</definedName>
    <definedName name="_ROC1" hidden="1">{"'QuotationCRPaint (3)'!$A$12:$B$15"}</definedName>
    <definedName name="_RU1">#REF!</definedName>
    <definedName name="_RU2">#REF!</definedName>
    <definedName name="_san2" hidden="1">{#N/A,#N/A,TRUE,"SUM";#N/A,#N/A,TRUE,"EE";#N/A,#N/A,TRUE,"AC";#N/A,#N/A,TRUE,"SN"}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ort" hidden="1">#REF!</definedName>
    <definedName name="_ss1" hidden="1">{#N/A,#N/A,TRUE,"SUM";#N/A,#N/A,TRUE,"EE";#N/A,#N/A,TRUE,"AC";#N/A,#N/A,TRUE,"SN"}</definedName>
    <definedName name="_str1">#REF!</definedName>
    <definedName name="_str2">#REF!</definedName>
    <definedName name="_str3">#REF!</definedName>
    <definedName name="_str4">#REF!</definedName>
    <definedName name="_sub1">#REF!</definedName>
    <definedName name="_SUM1">#REF!</definedName>
    <definedName name="_SUM2">#REF!</definedName>
    <definedName name="_SUM3">#REF!</definedName>
    <definedName name="_Table1_In1" hidden="1">#REF!</definedName>
    <definedName name="_Table1_Out" hidden="1">#REF!</definedName>
    <definedName name="_TOL1">#REF!</definedName>
    <definedName name="_tol2">#REF!</definedName>
    <definedName name="_TOP2">#REF!</definedName>
    <definedName name="_TP2">#REF!</definedName>
    <definedName name="_V1" hidden="1">{"sales",#N/A,FALSE,"SALES"}</definedName>
    <definedName name="_vc1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">#N/A</definedName>
    <definedName name="_wc1">"$#REF!.$A$1:$Y$47"</definedName>
    <definedName name="_WD2">#REF!</definedName>
    <definedName name="_WIN1">#REF!</definedName>
    <definedName name="_WL1">#REF!</definedName>
    <definedName name="_WL2">#REF!</definedName>
    <definedName name="_WU1">#REF!</definedName>
    <definedName name="_WU3">#REF!</definedName>
    <definedName name="_X">#REF!</definedName>
    <definedName name="_Y">#REF!</definedName>
    <definedName name="_yy1" hidden="1">{"'QuotationCRPaint (3)'!$A$12:$B$15"}</definedName>
    <definedName name="_z">#N/A</definedName>
    <definedName name="_z1" hidden="1">{#N/A,#N/A,TRUE,"SUM";#N/A,#N/A,TRUE,"EE";#N/A,#N/A,TRUE,"AC";#N/A,#N/A,TRUE,"SN"}</definedName>
    <definedName name="´cAE°eE¹" hidden="1">#REF!</definedName>
    <definedName name="￠￥cAE¡ÆeEⓒo" hidden="1">#REF!</definedName>
    <definedName name="a">#REF!</definedName>
    <definedName name="a___0">#REF!</definedName>
    <definedName name="a_b" hidden="1">{"'SUMMATION'!$B$2:$I$2"}</definedName>
    <definedName name="AA" hidden="1">{#N/A,#N/A,TRUE,"SUM";#N/A,#N/A,TRUE,"EE";#N/A,#N/A,TRUE,"AC";#N/A,#N/A,TRUE,"SN"}</definedName>
    <definedName name="aa_b" hidden="1">{"'SUMMATION'!$B$2:$I$2"}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{"'SUMMATION'!$B$2:$I$2"}</definedName>
    <definedName name="aaaa___0">#REF!</definedName>
    <definedName name="AAAAA">#REF!</definedName>
    <definedName name="AAAAAA">#REF!</definedName>
    <definedName name="aaaaaaa" hidden="1">{"conso",#N/A,FALSE,"cash flow"}</definedName>
    <definedName name="aaaaaaaa" hidden="1">{"'SUMMATION'!$B$2:$I$2"}</definedName>
    <definedName name="aaaaaaaaa" hidden="1">{"conso",#N/A,FALSE,"cash flow"}</definedName>
    <definedName name="aaaazzxx" hidden="1">{"'SUMMATION'!$B$2:$I$2"}</definedName>
    <definedName name="aaag" hidden="1">{#N/A,#N/A,TRUE,"SUM";#N/A,#N/A,TRUE,"EE";#N/A,#N/A,TRUE,"AC";#N/A,#N/A,TRUE,"SN"}</definedName>
    <definedName name="aaag2" hidden="1">{#N/A,#N/A,TRUE,"SUM";#N/A,#N/A,TRUE,"EE";#N/A,#N/A,TRUE,"AC";#N/A,#N/A,TRUE,"SN"}</definedName>
    <definedName name="aasd" hidden="1">{"'SUMMATION'!$B$2:$I$2"}</definedName>
    <definedName name="AAX" hidden="1">{#N/A,#N/A,TRUE,"SUM";#N/A,#N/A,TRUE,"EE";#N/A,#N/A,TRUE,"AC";#N/A,#N/A,TRUE,"SN"}</definedName>
    <definedName name="AB" hidden="1">{#N/A,#N/A,TRUE,"SUM";#N/A,#N/A,TRUE,"EE";#N/A,#N/A,TRUE,"AC";#N/A,#N/A,TRUE,"SN"}</definedName>
    <definedName name="abc" hidden="1">{"cashflow",#N/A,FALSE,"cash flow"}</definedName>
    <definedName name="abcd" hidden="1">{#N/A,#N/A,FALSE,"OUTPUT SHEET "}</definedName>
    <definedName name="AC" hidden="1">{#N/A,#N/A,TRUE,"Str.";#N/A,#N/A,TRUE,"Steel &amp; Roof";#N/A,#N/A,TRUE,"Arc.";#N/A,#N/A,TRUE,"Preliminary";#N/A,#N/A,TRUE,"Sum_Prelim"}</definedName>
    <definedName name="AC_Lab">#REF!</definedName>
    <definedName name="AC_Mat">#REF!</definedName>
    <definedName name="ACC">#REF!</definedName>
    <definedName name="AccessDatabase" hidden="1">"C:\My Documents\tippaporn\MAT PRICE.mdb"</definedName>
    <definedName name="ACESS">#REF!</definedName>
    <definedName name="ACT">#REF!</definedName>
    <definedName name="ad">#REF!</definedName>
    <definedName name="ADADFF" hidden="1">{#N/A,#N/A,TRUE,"SUM";#N/A,#N/A,TRUE,"EE";#N/A,#N/A,TRUE,"AC";#N/A,#N/A,TRUE,"SN"}</definedName>
    <definedName name="adafdadsf" hidden="1">{"conso",#N/A,FALSE,"cash flow"}</definedName>
    <definedName name="ADDR">[0]!HAJIME:[0]!OWARI</definedName>
    <definedName name="adfadf" hidden="1">{"cashflow",#N/A,FALSE,"cash flow"}</definedName>
    <definedName name="ADITION" hidden="1">{"'장비'!$A$3:$M$12"}</definedName>
    <definedName name="adsfds" hidden="1">{#N/A,#N/A,TRUE,"SUM";#N/A,#N/A,TRUE,"EE";#N/A,#N/A,TRUE,"AC";#N/A,#N/A,TRUE,"SN"}</definedName>
    <definedName name="adws">#REF!</definedName>
    <definedName name="aefewq" hidden="1">{"cashflow",#N/A,FALSE,"cash flow"}</definedName>
    <definedName name="aetrey" hidden="1">{#N/A,#N/A,TRUE,"SUM";#N/A,#N/A,TRUE,"EE";#N/A,#N/A,TRUE,"AC";#N/A,#N/A,TRUE,"SN"}</definedName>
    <definedName name="af">#REF!</definedName>
    <definedName name="afdasgh" hidden="1">{#N/A,#N/A,FALSE,"CCTV"}</definedName>
    <definedName name="aFdG" hidden="1">{#N/A,#N/A,TRUE,"SUM";#N/A,#N/A,TRUE,"EE";#N/A,#N/A,TRUE,"AC";#N/A,#N/A,TRUE,"SN"}</definedName>
    <definedName name="afdsfdg" hidden="1">{#N/A,#N/A,FALSE,"CCTV"}</definedName>
    <definedName name="afff" hidden="1">{#N/A,#N/A,TRUE,"SUM";#N/A,#N/A,TRUE,"EE";#N/A,#N/A,TRUE,"AC";#N/A,#N/A,TRUE,"SN"}</definedName>
    <definedName name="afffgff" hidden="1">{#N/A,#N/A,FALSE,"CCTV"}</definedName>
    <definedName name="AG">#REF!</definedName>
    <definedName name="AH" hidden="1">{#N/A,#N/A,FALSE,"CCTV"}</definedName>
    <definedName name="AIR">#REF!</definedName>
    <definedName name="AIR_L">#REF!</definedName>
    <definedName name="AIR_M">#REF!</definedName>
    <definedName name="ALL">#REF!</definedName>
    <definedName name="Amount" hidden="1">{"SUM",#N/A,FALSE,"summary";"BOOK11-1",#N/A,FALSE,"1CityGarden";"BOOK11-2",#N/A,FALSE,"2CountryGarden";"BOOK11-3",#N/A,FALSE,"3JUNGLE";"BOOK11-4CIVIL",#N/A,FALSE,"CIVIL"}</definedName>
    <definedName name="Analyze">#REF!</definedName>
    <definedName name="anan" hidden="1">{"'Sheet1'!$L$16"}</definedName>
    <definedName name="anscount" hidden="1">1</definedName>
    <definedName name="aod">#REF!</definedName>
    <definedName name="apg">#REF!</definedName>
    <definedName name="aq" hidden="1">{"'SUMMATION'!$B$2:$I$2"}</definedName>
    <definedName name="AR_LAB">#REF!</definedName>
    <definedName name="AR_MAT">#REF!</definedName>
    <definedName name="arc_lab">#REF!</definedName>
    <definedName name="arc_mat">#REF!</definedName>
    <definedName name="ARCH_L">#REF!</definedName>
    <definedName name="ARCH_LAB">#REF!</definedName>
    <definedName name="ARCH_M">#REF!</definedName>
    <definedName name="ARCH_MAT">#REF!</definedName>
    <definedName name="archi">#REF!</definedName>
    <definedName name="ARCHI_LAB">#REF!</definedName>
    <definedName name="ARCHI_MAT">#REF!</definedName>
    <definedName name="ARCHITECTURE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as">#REF!</definedName>
    <definedName name="As_1">#REF!</definedName>
    <definedName name="As_2">#REF!</definedName>
    <definedName name="AS16_">#REF!</definedName>
    <definedName name="AS20_">#REF!</definedName>
    <definedName name="AS22_">#REF!</definedName>
    <definedName name="AS25_">#REF!</definedName>
    <definedName name="AS28_">#REF!</definedName>
    <definedName name="ASD" hidden="1">{#N/A,#N/A,TRUE,"SUM";#N/A,#N/A,TRUE,"EE";#N/A,#N/A,TRUE,"AC";#N/A,#N/A,TRUE,"SN"}</definedName>
    <definedName name="asdas" hidden="1">{#N/A,#N/A,FALSE,"OUTPUT SHEET "}</definedName>
    <definedName name="asdfg" hidden="1">{#N/A,#N/A,TRUE,"SUM";#N/A,#N/A,TRUE,"EE";#N/A,#N/A,TRUE,"AC";#N/A,#N/A,TRUE,"SN"}</definedName>
    <definedName name="asdfgdg" hidden="1">{#N/A,#N/A,TRUE,"SUM";#N/A,#N/A,TRUE,"EE";#N/A,#N/A,TRUE,"AC";#N/A,#N/A,TRUE,"SN"}</definedName>
    <definedName name="asdfSA" hidden="1">{#N/A,#N/A,TRUE,"SUM";#N/A,#N/A,TRUE,"EE";#N/A,#N/A,TRUE,"AC";#N/A,#N/A,TRUE,"SN"}</definedName>
    <definedName name="asdqawd">#REF!</definedName>
    <definedName name="asestg" hidden="1">{#N/A,#N/A,TRUE,"SUM";#N/A,#N/A,TRUE,"EE";#N/A,#N/A,TRUE,"AC";#N/A,#N/A,TRUE,"SN"}</definedName>
    <definedName name="asfsaf" hidden="1">{#N/A,#N/A,TRUE,"SUM";#N/A,#N/A,TRUE,"EE";#N/A,#N/A,TRUE,"AC";#N/A,#N/A,TRUE,"SN"}</definedName>
    <definedName name="asfsf" hidden="1">{#N/A,#N/A,TRUE,"SUM";#N/A,#N/A,TRUE,"EE";#N/A,#N/A,TRUE,"AC";#N/A,#N/A,TRUE,"SN"}</definedName>
    <definedName name="asrwer" hidden="1">{#N/A,#N/A,TRUE,"SUM";#N/A,#N/A,TRUE,"EE";#N/A,#N/A,TRUE,"AC";#N/A,#N/A,TRUE,"SN"}</definedName>
    <definedName name="ass" hidden="1">{"revable",#N/A,FALSE,"REVABLE"}</definedName>
    <definedName name="AST">#REF!</definedName>
    <definedName name="ASTX">#REF!</definedName>
    <definedName name="ASTY">#REF!</definedName>
    <definedName name="At">#REF!</definedName>
    <definedName name="aumq" hidden="1">{#N/A,#N/A,FALSE,"Cont Doc_LSV (4)";#N/A,#N/A,FALSE,"Cont Doc_LSV (5)";#N/A,#N/A,FALSE,"Cont Doc_LSV (6)"}</definedName>
    <definedName name="Av">#REF!</definedName>
    <definedName name="Av_At">#REF!</definedName>
    <definedName name="AV12_">#REF!</definedName>
    <definedName name="AV6_">#REF!</definedName>
    <definedName name="AV9_">#REF!</definedName>
    <definedName name="awawa" hidden="1">#REF!</definedName>
    <definedName name="b">#REF!</definedName>
    <definedName name="B_1">#REF!</definedName>
    <definedName name="B1.">#REF!</definedName>
    <definedName name="Backdownประตู" hidden="1">{#N/A,#N/A,TRUE,"Str.";#N/A,#N/A,TRUE,"Steel &amp; Roof";#N/A,#N/A,TRUE,"Arc.";#N/A,#N/A,TRUE,"Preliminary";#N/A,#N/A,TRUE,"Sum_Prelim"}</definedName>
    <definedName name="bar">#REF!</definedName>
    <definedName name="bas" hidden="1">{#N/A,#N/A,TRUE,"SUM";#N/A,#N/A,TRUE,"EE";#N/A,#N/A,TRUE,"AC";#N/A,#N/A,TRUE,"SN"}</definedName>
    <definedName name="Basement1" hidden="1">#REF!</definedName>
    <definedName name="BB" hidden="1">{#N/A,#N/A,TRUE,"Str.";#N/A,#N/A,TRUE,"Steel &amp; Roof";#N/A,#N/A,TRUE,"Arc.";#N/A,#N/A,TRUE,"Preliminary";#N/A,#N/A,TRUE,"Sum_Prelim"}</definedName>
    <definedName name="BBB" hidden="1">{#N/A,#N/A,FALSE,"CCTV"}</definedName>
    <definedName name="BBBB">#REF!</definedName>
    <definedName name="BC">#REF!</definedName>
    <definedName name="bcv">#REF!</definedName>
    <definedName name="BDShineChaiHou1" hidden="1">{"'QuotationCRPaint (3)'!$A$12:$B$15"}</definedName>
    <definedName name="Beg_Bal">#REF!</definedName>
    <definedName name="Beg_Bal_8">#REF!</definedName>
    <definedName name="BEGIN">#REF!</definedName>
    <definedName name="bfbfdhfdhdfgh" hidden="1">{#N/A,#N/A,FALSE,"CCTV"}</definedName>
    <definedName name="bgzbv">#REF!</definedName>
    <definedName name="bhu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GC1" hidden="1">{#N/A,#N/A,TRUE,"Str.";#N/A,#N/A,TRUE,"Steel &amp; Roof";#N/A,#N/A,TRUE,"Arc.";#N/A,#N/A,TRUE,"Preliminary";#N/A,#N/A,TRUE,"Sum_Prelim"}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" hidden="1">{#N/A,#N/A,FALSE,"CCTV"}</definedName>
    <definedName name="bk" hidden="1">{"cashflow",#N/A,FALSE,"cash flow"}</definedName>
    <definedName name="bkd" hidden="1">{"'Sheet1'!$L$16"}</definedName>
    <definedName name="Black_C">#REF!</definedName>
    <definedName name="bn" hidden="1">{"'Sheet1'!$L$16"}</definedName>
    <definedName name="bomb" hidden="1">{#N/A,#N/A,FALSE,"CCTV"}</definedName>
    <definedName name="BOQ">#REF!</definedName>
    <definedName name="BOQS">#REF!</definedName>
    <definedName name="BOQsum">#REF!</definedName>
    <definedName name="Bottom_Tank">#REF!</definedName>
    <definedName name="BOX">#REF!</definedName>
    <definedName name="boy">#REF!</definedName>
    <definedName name="BudgetSum">#REF!</definedName>
    <definedName name="BUDJET1">#REF!</definedName>
    <definedName name="BUDJET2">#REF!</definedName>
    <definedName name="BUDJET3">#REF!</definedName>
    <definedName name="BuiltIn_AutoFilter___6">#REF!</definedName>
    <definedName name="Button_1">"MAT_PRICE_Sheet1_List"</definedName>
    <definedName name="bwatb" hidden="1">{#N/A,#N/A,TRUE,"SUM";#N/A,#N/A,TRUE,"EE";#N/A,#N/A,TRUE,"AC";#N/A,#N/A,TRUE,"SN"}</definedName>
    <definedName name="C_">#N/A</definedName>
    <definedName name="c_d" hidden="1">{"'SUMMATION'!$B$2:$I$2"}</definedName>
    <definedName name="CA" hidden="1">{#N/A,#N/A,TRUE,"SUM";#N/A,#N/A,TRUE,"EE";#N/A,#N/A,TRUE,"AC";#N/A,#N/A,TRUE,"SN"}</definedName>
    <definedName name="CAL">#REF!</definedName>
    <definedName name="Carpen">#REF!</definedName>
    <definedName name="Category_Optional_Fields">#REF!</definedName>
    <definedName name="cc">#REF!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c" hidden="1">{"PRINT_EST",#N/A,FALSE,"ESTMON"}</definedName>
    <definedName name="cccc" hidden="1">{"PRINT_EST",#N/A,FALSE,"ESTMON"}</definedName>
    <definedName name="ccccc">NA()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v">#REF!</definedName>
    <definedName name="CD" hidden="1">#REF!</definedName>
    <definedName name="CDL">#REF!</definedName>
    <definedName name="centric" hidden="1">{#N/A,#N/A,TRUE,"Str.";#N/A,#N/A,TRUE,"Steel &amp; Roof";#N/A,#N/A,TRUE,"Arc.";#N/A,#N/A,TRUE,"Preliminary";#N/A,#N/A,TRUE,"Sum_Prelim"}</definedName>
    <definedName name="cflo" hidden="1">{"CASH FLOW",#N/A,FALSE,"A"}</definedName>
    <definedName name="cfr" hidden="1">{#N/A,#N/A,TRUE,"SUM";#N/A,#N/A,TRUE,"EE";#N/A,#N/A,TRUE,"AC";#N/A,#N/A,TRUE,"SN"}</definedName>
    <definedName name="CHECK">IF(OFFSET(#REF!,0,#REF!)="","",OFFSET(#REF!,0,#REF!))</definedName>
    <definedName name="Checkbox">#REF!,#REF!,#REF!,#REF!,#REF!,#REF!</definedName>
    <definedName name="Checker">#REF!,#REF!,#REF!,#REF!,#REF!,#REF!</definedName>
    <definedName name="civ_lab">#REF!</definedName>
    <definedName name="civ_mat">#REF!</definedName>
    <definedName name="civil">#REF!</definedName>
    <definedName name="CIVIL_LAB">#REF!</definedName>
    <definedName name="CIVIL_MAT">#REF!</definedName>
    <definedName name="ck">#REF!</definedName>
    <definedName name="CL">#REF!</definedName>
    <definedName name="clipsal">NA()</definedName>
    <definedName name="cn" hidden="1">{"'Sheet1'!$L$16"}</definedName>
    <definedName name="CODE">#REF!</definedName>
    <definedName name="Code_Sum_QTY_1">#REF!</definedName>
    <definedName name="compare" hidden="1">#REF!</definedName>
    <definedName name="Cons_status">#REF!</definedName>
    <definedName name="cost" hidden="1">{"CASH FLOW",#N/A,FALSE,"A"}</definedName>
    <definedName name="Cost_Categories">#REF!</definedName>
    <definedName name="cost_lab">#REF!</definedName>
    <definedName name="cost_lab___0">#REF!</definedName>
    <definedName name="cost_mat">#REF!</definedName>
    <definedName name="cost_mat___0">#REF!</definedName>
    <definedName name="cost1">#REF!</definedName>
    <definedName name="cost10">#REF!</definedName>
    <definedName name="cost11">#REF!</definedName>
    <definedName name="cost12">#REF!</definedName>
    <definedName name="cost13">#REF!</definedName>
    <definedName name="cost2">#REF!</definedName>
    <definedName name="cost3">#REF!</definedName>
    <definedName name="cost4">#REF!</definedName>
    <definedName name="cost5">#REF!</definedName>
    <definedName name="cost6">#REF!</definedName>
    <definedName name="cost7">#REF!</definedName>
    <definedName name="cost8">#REF!</definedName>
    <definedName name="cost9">#REF!</definedName>
    <definedName name="COVER" hidden="1">{#N/A,#N/A,TRUE,"SUM";#N/A,#N/A,TRUE,"EE";#N/A,#N/A,TRUE,"AC";#N/A,#N/A,TRUE,"SN"}</definedName>
    <definedName name="CoverGysumSUS" hidden="1">{"'QuotationCRPaint (3)'!$A$12:$B$15"}</definedName>
    <definedName name="CoverGysumSUS1" hidden="1">{"'QuotationCRPaint (3)'!$A$12:$B$15"}</definedName>
    <definedName name="Covering">#REF!</definedName>
    <definedName name="CR_ALL">#REF!</definedName>
    <definedName name="CSODJWO" hidden="1">{#N/A,#N/A,TRUE,"SUM";#N/A,#N/A,TRUE,"EE";#N/A,#N/A,TRUE,"AC";#N/A,#N/A,TRUE,"SN"}</definedName>
    <definedName name="CUL">#REF!</definedName>
    <definedName name="CVV">NA()</definedName>
    <definedName name="CX">#REF!</definedName>
    <definedName name="CY">#REF!</definedName>
    <definedName name="d">#REF!</definedName>
    <definedName name="d_">#REF!</definedName>
    <definedName name="d_1">#REF!</definedName>
    <definedName name="Da">#REF!</definedName>
    <definedName name="dadfsdfa" hidden="1">{"conso",#N/A,FALSE,"cash flow"}</definedName>
    <definedName name="DAI">#REF!</definedName>
    <definedName name="DAKDFADF" hidden="1">{"conso",#N/A,FALSE,"cash flow"}</definedName>
    <definedName name="dasda" hidden="1">{"Equipment cost",#N/A,FALSE,"bulks"}</definedName>
    <definedName name="data" hidden="1">{#N/A,#N/A,TRUE,"SUM";#N/A,#N/A,TRUE,"EE";#N/A,#N/A,TRUE,"AC";#N/A,#N/A,TRUE,"SN"}</definedName>
    <definedName name="Data_8">#REF!</definedName>
    <definedName name="data1">#REF!</definedName>
    <definedName name="data10">#REF!</definedName>
    <definedName name="data10_8">#REF!</definedName>
    <definedName name="data2">#REF!</definedName>
    <definedName name="data4">#REF!</definedName>
    <definedName name="data4_8">#REF!</definedName>
    <definedName name="data84">#REF!</definedName>
    <definedName name="_xlnm.Database">#REF!</definedName>
    <definedName name="daw" hidden="1">{"'ค่าแรงช่าง'!$A$1:$H$57"}</definedName>
    <definedName name="DB">#REF!</definedName>
    <definedName name="dd" hidden="1">{#N/A,#N/A,TRUE,"SUM";#N/A,#N/A,TRUE,"EE";#N/A,#N/A,TRUE,"AC";#N/A,#N/A,TRUE,"SN"}</definedName>
    <definedName name="ddadfa" hidden="1">{"conso",#N/A,FALSE,"cash flow"}</definedName>
    <definedName name="DDAFDASF" hidden="1">{"conso",#N/A,FALSE,"cash flow"}</definedName>
    <definedName name="ddd" hidden="1">{"index",#N/A,FALSE,"INDEX"}</definedName>
    <definedName name="ddda" hidden="1">{#N/A,#N/A,TRUE,"Str.";#N/A,#N/A,TRUE,"Steel &amp; Roof";#N/A,#N/A,TRUE,"Arc.";#N/A,#N/A,TRUE,"Preliminary";#N/A,#N/A,TRUE,"Sum_Prelim"}</definedName>
    <definedName name="dddd">#N/A</definedName>
    <definedName name="dddd_1">#N/A</definedName>
    <definedName name="dddd_1_1">#N/A</definedName>
    <definedName name="dddd_11">#N/A</definedName>
    <definedName name="dddd_11_1">#N/A</definedName>
    <definedName name="dddd_12">#N/A</definedName>
    <definedName name="dddd_12_1">#N/A</definedName>
    <definedName name="dddd_13">#N/A</definedName>
    <definedName name="dddd_13_1">#N/A</definedName>
    <definedName name="dddd_3">#N/A</definedName>
    <definedName name="dddd_3_1">#N/A</definedName>
    <definedName name="dddd_4">#N/A</definedName>
    <definedName name="dddd_4_1">#N/A</definedName>
    <definedName name="dddd_5">#N/A</definedName>
    <definedName name="dddd_5_1">#N/A</definedName>
    <definedName name="dddd_7">#N/A</definedName>
    <definedName name="dddd_7_1">#N/A</definedName>
    <definedName name="dddd_8">#N/A</definedName>
    <definedName name="ddddd" hidden="1">{#N/A,#N/A,FALSE,"CCTV"}</definedName>
    <definedName name="dddddd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sad" hidden="1">{#N/A,#N/A,TRUE,"SUM";#N/A,#N/A,TRUE,"EE";#N/A,#N/A,TRUE,"AC";#N/A,#N/A,TRUE,"SN"}</definedName>
    <definedName name="DDFD" hidden="1">{#N/A,#N/A,FALSE,"CCTV"}</definedName>
    <definedName name="de" hidden="1">{"conso",#N/A,FALSE,"cash flow"}</definedName>
    <definedName name="def" hidden="1">{"conso",#N/A,FALSE,"cash flow"}</definedName>
    <definedName name="des">IF(#REF!="","",VLOOKUP(#REF!,#REF!,2,0))</definedName>
    <definedName name="DEWSLDW" hidden="1">{#N/A,#N/A,TRUE,"SUM";#N/A,#N/A,TRUE,"EE";#N/A,#N/A,TRUE,"AC";#N/A,#N/A,TRUE,"SN"}</definedName>
    <definedName name="dfadf" hidden="1">{"conso",#N/A,FALSE,"cash flow"}</definedName>
    <definedName name="dfaf" hidden="1">{"'장비'!$A$3:$M$12"}</definedName>
    <definedName name="DFAFDA" hidden="1">{"cashflow",#N/A,FALSE,"cash flow"}</definedName>
    <definedName name="dfasf" hidden="1">{"conso",#N/A,FALSE,"cash flow"}</definedName>
    <definedName name="DFDFD">#REF!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rdty" hidden="1">{#N/A,#N/A,TRUE,"SUM";#N/A,#N/A,TRUE,"EE";#N/A,#N/A,TRUE,"AC";#N/A,#N/A,TRUE,"SN"}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" hidden="1">{#N/A,#N/A,TRUE,"SUM";#N/A,#N/A,TRUE,"EE";#N/A,#N/A,TRUE,"AC";#N/A,#N/A,TRUE,"SN"}</definedName>
    <definedName name="dgde" hidden="1">{#N/A,#N/A,TRUE,"SUM";#N/A,#N/A,TRUE,"EE";#N/A,#N/A,TRUE,"AC";#N/A,#N/A,TRUE,"SN"}</definedName>
    <definedName name="dgdfd" hidden="1">{#N/A,#N/A,TRUE,"SUM";#N/A,#N/A,TRUE,"EE";#N/A,#N/A,TRUE,"AC";#N/A,#N/A,TRUE,"SN"}</definedName>
    <definedName name="dgdh" hidden="1">{#N/A,#N/A,TRUE,"SUM";#N/A,#N/A,TRUE,"EE";#N/A,#N/A,TRUE,"AC";#N/A,#N/A,TRUE,"SN"}</definedName>
    <definedName name="dgf" hidden="1">{#N/A,#N/A,TRUE,"SUM";#N/A,#N/A,TRUE,"EE";#N/A,#N/A,TRUE,"AC";#N/A,#N/A,TRUE,"SN"}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gfd" hidden="1">{#N/A,#N/A,TRUE,"SUM";#N/A,#N/A,TRUE,"EE";#N/A,#N/A,TRUE,"AC";#N/A,#N/A,TRUE,"SN"}</definedName>
    <definedName name="dgfgjgj" hidden="1">{#N/A,#N/A,FALSE,"CCTV"}</definedName>
    <definedName name="dgg" hidden="1">{#N/A,#N/A,TRUE,"SUM";#N/A,#N/A,TRUE,"EE";#N/A,#N/A,TRUE,"AC";#N/A,#N/A,TRUE,"SN"}</definedName>
    <definedName name="DIA">#REF!</definedName>
    <definedName name="dis">NA()</definedName>
    <definedName name="DiscAC">#REF!</definedName>
    <definedName name="DiscFan">#REF!</definedName>
    <definedName name="discount">#REF!</definedName>
    <definedName name="dkdp" hidden="1">{#N/A,#N/A,TRUE,"SUM";#N/A,#N/A,TRUE,"EE";#N/A,#N/A,TRUE,"AC";#N/A,#N/A,TRUE,"SN"}</definedName>
    <definedName name="Documentation" hidden="1">{#N/A,#N/A,FALSE,"OUTPUT SHEET "}</definedName>
    <definedName name="dsgfvda" hidden="1">{#N/A,#N/A,TRUE,"SUM";#N/A,#N/A,TRUE,"EE";#N/A,#N/A,TRUE,"AC";#N/A,#N/A,TRUE,"SN"}</definedName>
    <definedName name="dsgvdsgs" hidden="1">{#N/A,#N/A,TRUE,"SUM";#N/A,#N/A,TRUE,"EE";#N/A,#N/A,TRUE,"AC";#N/A,#N/A,TRUE,"SN"}</definedName>
    <definedName name="DSJKLDE" hidden="1">{#N/A,#N/A,TRUE,"SUM";#N/A,#N/A,TRUE,"EE";#N/A,#N/A,TRUE,"AC";#N/A,#N/A,TRUE,"SN"}</definedName>
    <definedName name="DT">#REF!</definedName>
    <definedName name="Duct" hidden="1">{"'QuotationCRPaint (3)'!$A$12:$B$15"}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ration">#REF!</definedName>
    <definedName name="DVADFA" hidden="1">{"conso",#N/A,FALSE,"cash flow"}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ykidtuioyufjk" hidden="1">#REF!</definedName>
    <definedName name="dytkuy" hidden="1">{#N/A,#N/A,TRUE,"SUM";#N/A,#N/A,TRUE,"EE";#N/A,#N/A,TRUE,"AC";#N/A,#N/A,TRUE,"SN"}</definedName>
    <definedName name="e">#REF!</definedName>
    <definedName name="e___0">#REF!</definedName>
    <definedName name="e_f" hidden="1">{"'SUMMATION'!$B$2:$I$2"}</definedName>
    <definedName name="E1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1N1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1NA">#REF!*#REF!+#REF!*#REF!+#REF!*#REF!+#REF!*#REF!+#REF!*#REF!+#REF!*#REF!+#REF!*#REF!+#REF!*#REF!+#REF!*#REF!+#REF!*1+#REF!*1+#REF!*1+#REF!*#REF!+#REF!*1</definedName>
    <definedName name="e2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2NA">#REF!*#REF!+#REF!*#REF!+#REF!*#REF!+#REF!*#REF!+#REF!*#REF!+#REF!*#REF!+#REF!*#REF!+#REF!*#REF!+#REF!*#REF!+#REF!*#REF!+#REF!*#REF!+#REF!*#REF!+#REF!*#REF!+#REF!*#REF!</definedName>
    <definedName name="e3w" hidden="1">#REF!</definedName>
    <definedName name="E4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4NA">#REF!*#REF!+#REF!*#REF!+#REF!*#REF!+#REF!*#REF!+#REF!*#REF!+#REF!*#REF!+#REF!*#REF!+#REF!*#REF!+#REF!*#REF!+#REF!*#REF!+#REF!*#REF!+#REF!*#REF!+#REF!*#REF!+#REF!*#REF!</definedName>
    <definedName name="Earth">#REF!</definedName>
    <definedName name="east" hidden="1">{"PLANT BREAKUP",#N/A,FALSE,"E"}</definedName>
    <definedName name="EC">#REF!</definedName>
    <definedName name="ECCAX">#REF!</definedName>
    <definedName name="ECCAY">#REF!</definedName>
    <definedName name="ECCBX">#REF!</definedName>
    <definedName name="ECCBY">#REF!</definedName>
    <definedName name="ECCX">#REF!</definedName>
    <definedName name="ECCY">#REF!</definedName>
    <definedName name="ede" hidden="1">{#N/A,#N/A,TRUE,"Str.";#N/A,#N/A,TRUE,"Steel &amp; Roof";#N/A,#N/A,TRUE,"Arc.";#N/A,#N/A,TRUE,"Preliminary";#N/A,#N/A,TRUE,"Sum_Prelim"}</definedName>
    <definedName name="EDF" hidden="1">{"'장비'!$A$3:$M$12"}</definedName>
    <definedName name="edfr" hidden="1">{#N/A,#N/A,TRUE,"SUM";#N/A,#N/A,TRUE,"EE";#N/A,#N/A,TRUE,"AC";#N/A,#N/A,TRUE,"SN"}</definedName>
    <definedName name="edr" hidden="1">{#N/A,#N/A,TRUE,"SUM";#N/A,#N/A,TRUE,"EE";#N/A,#N/A,TRUE,"AC";#N/A,#N/A,TRUE,"SN"}</definedName>
    <definedName name="edrr" hidden="1">{#N/A,#N/A,TRUE,"SUM";#N/A,#N/A,TRUE,"EE";#N/A,#N/A,TRUE,"AC";#N/A,#N/A,TRUE,"SN"}</definedName>
    <definedName name="ee" hidden="1">{#N/A,#N/A,TRUE,"SUM";#N/A,#N/A,TRUE,"EE";#N/A,#N/A,TRUE,"AC";#N/A,#N/A,TRUE,"SN"}</definedName>
    <definedName name="EE_1">#N/A</definedName>
    <definedName name="EE_1_1">#N/A</definedName>
    <definedName name="EE_11">#N/A</definedName>
    <definedName name="EE_11_1">#N/A</definedName>
    <definedName name="EE_12">#N/A</definedName>
    <definedName name="EE_12_1">#N/A</definedName>
    <definedName name="EE_13">#N/A</definedName>
    <definedName name="EE_13_1">#N/A</definedName>
    <definedName name="EE_3">#N/A</definedName>
    <definedName name="EE_3_1">#N/A</definedName>
    <definedName name="EE_4">#N/A</definedName>
    <definedName name="EE_4_1">#N/A</definedName>
    <definedName name="EE_5">#N/A</definedName>
    <definedName name="EE_5_1">#N/A</definedName>
    <definedName name="EE_7">#N/A</definedName>
    <definedName name="EE_7_1">#N/A</definedName>
    <definedName name="EE_8">#N/A</definedName>
    <definedName name="eec">#REF!</definedName>
    <definedName name="eec___0">#REF!</definedName>
    <definedName name="eee" hidden="1">{"revsale",#N/A,FALSE,"REV-ยุพดี"}</definedName>
    <definedName name="eeee" hidden="1">{"revsale",#N/A,FALSE,"REV-ยุพดี"}</definedName>
    <definedName name="eeee1" hidden="1">{"revsale",#N/A,FALSE,"REV-ยุพดี"}</definedName>
    <definedName name="eeeee" hidden="1">{#N/A,#N/A,TRUE,"SUM";#N/A,#N/A,TRUE,"EE";#N/A,#N/A,TRUE,"AC";#N/A,#N/A,TRUE,"SN"}</definedName>
    <definedName name="eef" hidden="1">{#N/A,#N/A,TRUE,"Str.";#N/A,#N/A,TRUE,"Steel &amp; Roof";#N/A,#N/A,TRUE,"Arc.";#N/A,#N/A,TRUE,"Preliminary";#N/A,#N/A,TRUE,"Sum_Prelim"}</definedName>
    <definedName name="eex" hidden="1">{"'SUMMATION'!$B$2:$I$2"}</definedName>
    <definedName name="EF">#REF!</definedName>
    <definedName name="EFA">#REF!</definedName>
    <definedName name="eg" hidden="1">{#N/A,#N/A,TRUE,"Str.";#N/A,#N/A,TRUE,"Steel &amp; Roof";#N/A,#N/A,TRUE,"Arc.";#N/A,#N/A,TRUE,"Preliminary";#N/A,#N/A,TRUE,"Sum_Prelim"}</definedName>
    <definedName name="EL2O">#REF!*#REF!+#REF!*#REF!+#REF!*#REF!+#REF!*#REF!+#REF!*#REF!+#REF!*#REF!+#REF!*#REF!+#REF!*#REF!+#REF!*#REF!+#REF!*#REF!+#REF!*#REF!+#REF!*#REF!+#REF!*#REF!+#REF!*#REF!+#REF!*#REF!+#REF!*#REF!+#REF!*#REF!+#REF!*#REF!+#REF!*#REF!</definedName>
    <definedName name="ELEC_L">#REF!</definedName>
    <definedName name="ELEC_M">#REF!</definedName>
    <definedName name="elec_sum" hidden="1">{"'SUMMATION'!$B$2:$I$2"}</definedName>
    <definedName name="ELEMENT__Sanitary_System">#REF!</definedName>
    <definedName name="ELEMENT__Sanitary_System___0">#REF!</definedName>
    <definedName name="elx">#REF!</definedName>
    <definedName name="end" hidden="1">{#N/A,#N/A,TRUE,"SUM";#N/A,#N/A,TRUE,"EE";#N/A,#N/A,TRUE,"AC";#N/A,#N/A,TRUE,"SN"}</definedName>
    <definedName name="End_Bal">#REF!</definedName>
    <definedName name="End_Bal_8">#REF!</definedName>
    <definedName name="ENDGAME" hidden="1">{"Equipment cost",#N/A,FALSE,"bulks"}</definedName>
    <definedName name="enfkr" hidden="1">{#N/A,#N/A,TRUE,"SUM";#N/A,#N/A,TRUE,"EE";#N/A,#N/A,TRUE,"AC";#N/A,#N/A,TRUE,"SN"}</definedName>
    <definedName name="eqdata">#REF!</definedName>
    <definedName name="eqinput">#REF!</definedName>
    <definedName name="eqtotal">#REF!</definedName>
    <definedName name="eqtotalqty">#REF!</definedName>
    <definedName name="ere" hidden="1">{"conso",#N/A,FALSE,"cash flow"}</definedName>
    <definedName name="EREWQT" hidden="1">{#N/A,#N/A,TRUE,"SUM";#N/A,#N/A,TRUE,"EE";#N/A,#N/A,TRUE,"AC";#N/A,#N/A,TRUE,"SN"}</definedName>
    <definedName name="ert" hidden="1">{#N/A,#N/A,TRUE,"SUM";#N/A,#N/A,TRUE,"EE";#N/A,#N/A,TRUE,"AC";#N/A,#N/A,TRUE,"SN"}</definedName>
    <definedName name="ertr" hidden="1">{#N/A,#N/A,TRUE,"SUM";#N/A,#N/A,TRUE,"EE";#N/A,#N/A,TRUE,"AC";#N/A,#N/A,TRUE,"SN"}</definedName>
    <definedName name="erwewew" hidden="1">#REF!</definedName>
    <definedName name="erwr" hidden="1">{#N/A,#N/A,TRUE,"SUM";#N/A,#N/A,TRUE,"EE";#N/A,#N/A,TRUE,"AC";#N/A,#N/A,TRUE,"SN"}</definedName>
    <definedName name="ES">#REF!</definedName>
    <definedName name="ESA">#REF!</definedName>
    <definedName name="esda" hidden="1">{#N/A,#N/A,TRUE,"SUM";#N/A,#N/A,TRUE,"EE";#N/A,#N/A,TRUE,"AC";#N/A,#N/A,TRUE,"SN"}</definedName>
    <definedName name="ese" hidden="1">{#N/A,#N/A,TRUE,"SUM";#N/A,#N/A,TRUE,"EE";#N/A,#N/A,TRUE,"AC";#N/A,#N/A,TRUE,"SN"}</definedName>
    <definedName name="ess" hidden="1">{"cashflow",#N/A,FALSE,"cash flow"}</definedName>
    <definedName name="etet" hidden="1">{#N/A,#N/A,TRUE,"SUM";#N/A,#N/A,TRUE,"EE";#N/A,#N/A,TRUE,"AC";#N/A,#N/A,TRUE,"SN"}</definedName>
    <definedName name="ETREWT" hidden="1">{#N/A,#N/A,TRUE,"SUM";#N/A,#N/A,TRUE,"EE";#N/A,#N/A,TRUE,"AC";#N/A,#N/A,TRUE,"SN"}</definedName>
    <definedName name="ett" hidden="1">{#N/A,#N/A,TRUE,"SUM";#N/A,#N/A,TRUE,"EE";#N/A,#N/A,TRUE,"AC";#N/A,#N/A,TRUE,"SN"}</definedName>
    <definedName name="etwt" hidden="1">{#N/A,#N/A,TRUE,"SUM";#N/A,#N/A,TRUE,"EE";#N/A,#N/A,TRUE,"AC";#N/A,#N/A,TRUE,"SN"}</definedName>
    <definedName name="ewewewew" hidden="1">#REF!</definedName>
    <definedName name="ewewewewew" hidden="1">#REF!</definedName>
    <definedName name="ewte" hidden="1">{#N/A,#N/A,TRUE,"SUM";#N/A,#N/A,TRUE,"EE";#N/A,#N/A,TRUE,"AC";#N/A,#N/A,TRUE,"SN"}</definedName>
    <definedName name="ewtrety" hidden="1">{#N/A,#N/A,TRUE,"SUM";#N/A,#N/A,TRUE,"EE";#N/A,#N/A,TRUE,"AC";#N/A,#N/A,TRUE,"SN"}</definedName>
    <definedName name="EX_LAB">#REF!</definedName>
    <definedName name="EX_MAT">#REF!</definedName>
    <definedName name="exam" hidden="1">{"FTS",#N/A,FALSE,"E"}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0">#REF!</definedName>
    <definedName name="Excel_BuiltIn__FilterDatabase_1_11">#REF!</definedName>
    <definedName name="Excel_BuiltIn__FilterDatabase_1_12">#REF!</definedName>
    <definedName name="Excel_BuiltIn__FilterDatabase_1_2">#REF!</definedName>
    <definedName name="Excel_BuiltIn__FilterDatabase_1_3">#REF!</definedName>
    <definedName name="Excel_BuiltIn__FilterDatabase_1_4">#REF!</definedName>
    <definedName name="Excel_BuiltIn__FilterDatabase_1_5">#REF!</definedName>
    <definedName name="Excel_BuiltIn__FilterDatabase_1_6">#REF!</definedName>
    <definedName name="Excel_BuiltIn__FilterDatabase_1_7">#REF!</definedName>
    <definedName name="Excel_BuiltIn__FilterDatabase_1_8">#REF!</definedName>
    <definedName name="Excel_BuiltIn__FilterDatabase_1_9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14">#REF!</definedName>
    <definedName name="Excel_BuiltIn__FilterDatabase_15">#REF!</definedName>
    <definedName name="Excel_BuiltIn__FilterDatabase_2">#REF!</definedName>
    <definedName name="Excel_BuiltIn__FilterDatabase_4">#REF!</definedName>
    <definedName name="Excel_BuiltIn__FilterDatabase_5">"$#REF!.#REF!#REF!:#REF!#REF!"</definedName>
    <definedName name="Excel_BuiltIn__FilterDatabase_5_1">NA()</definedName>
    <definedName name="Excel_BuiltIn__FilterDatabase_5_8">NA()</definedName>
    <definedName name="Excel_BuiltIn__FilterDatabase_7">"$#REF!.$A$24:$J$356"</definedName>
    <definedName name="Excel_BuiltIn__FilterDatabase_7_8">NA()</definedName>
    <definedName name="Excel_BuiltIn__FilterDatabase_9">#REF!</definedName>
    <definedName name="Excel_BuiltIn__FilterDatabase_9_1">#REF!</definedName>
    <definedName name="Excel_BuiltIn_Database_0">"'file://SERVERDESIGN/i/Electric-work/Doc. Estimate Form/AC.XLS'#$EXF.$#REF!$#REF!:$#REF!$#REF!"</definedName>
    <definedName name="Excel_BuiltIn_Print_Area">#REF!</definedName>
    <definedName name="Excel_BuiltIn_Print_Area_0">#REF!</definedName>
    <definedName name="Excel_BuiltIn_Print_Area_0___0">"$#REF!.$A$1:$W$34"</definedName>
    <definedName name="Excel_BuiltIn_Print_Area_0___0___0">"$#REF!.$A$1:$W$34"</definedName>
    <definedName name="Excel_BuiltIn_Print_Area_0___0___1">#REF!</definedName>
    <definedName name="Excel_BuiltIn_Print_Area_0___11">#REF!</definedName>
    <definedName name="Excel_BuiltIn_Print_Area_0___12">#REF!</definedName>
    <definedName name="Excel_BuiltIn_Print_Area_0___13">#REF!</definedName>
    <definedName name="Excel_BuiltIn_Print_Area_0___14">#REF!</definedName>
    <definedName name="Excel_BuiltIn_Print_Area_0___15">#REF!</definedName>
    <definedName name="Excel_BuiltIn_Print_Area_0___16">#REF!</definedName>
    <definedName name="Excel_BuiltIn_Print_Area_0___8">#REF!</definedName>
    <definedName name="Excel_BuiltIn_Print_Area_0___9">#REF!</definedName>
    <definedName name="Excel_BuiltIn_Print_Area_1">NA()</definedName>
    <definedName name="Excel_BuiltIn_Print_Area_1_1">#REF!</definedName>
    <definedName name="Excel_BuiltIn_Print_Area_1_1_1">NA()</definedName>
    <definedName name="Excel_BuiltIn_Print_Area_1_1_1_1">NA()</definedName>
    <definedName name="Excel_BuiltIn_Print_Area_1_1_1_1_1">#REF!</definedName>
    <definedName name="Excel_BuiltIn_Print_Area_1_1_1_1_1_1">NA()</definedName>
    <definedName name="Excel_BuiltIn_Print_Area_1_1_1_1_1_1_1">#REF!</definedName>
    <definedName name="Excel_BuiltIn_Print_Area_1_1_1_1_1_1_1_1">#REF!</definedName>
    <definedName name="Excel_BuiltIn_Print_Area_1_1_1_1_1_1_1_1_1">NA()</definedName>
    <definedName name="Excel_BuiltIn_Print_Area_1_1_1_1_1_1_1_1_1_1_1">NA()</definedName>
    <definedName name="Excel_BuiltIn_Print_Area_1_1_1_1_1_1_1_1_1_1_1_1_1_1">NA()</definedName>
    <definedName name="Excel_BuiltIn_Print_Area_1_1_1_1_1_1_1_1_1_1_1_1_1_1_1_1_1_1">NA()</definedName>
    <definedName name="Excel_BuiltIn_Print_Area_1_1_1_1_1_1_1_1_1_1_1_1_1_1_1_1_1_1_1">NA()</definedName>
    <definedName name="Excel_BuiltIn_Print_Area_1_1_1_1_1_1_1_1_1_1_1_1_1_1_1_1_1_1_1_1">NA()</definedName>
    <definedName name="Excel_BuiltIn_Print_Area_1_1_1_1_1_1_1_1_1_1_1_1_1_1_1_16">#REF!</definedName>
    <definedName name="Excel_BuiltIn_Print_Area_1_1_1_1_1_1_1_1_1_1_1_1_1_1_1_16_1">#REF!</definedName>
    <definedName name="Excel_BuiltIn_Print_Area_1_1_1_1_1_1_1_1_1_1_1_1_1_1_16">#REF!</definedName>
    <definedName name="Excel_BuiltIn_Print_Area_1_1_1_1_1_1_1_1_1_1_1_1_1_16">#REF!</definedName>
    <definedName name="Excel_BuiltIn_Print_Area_1_1_1_1_1_1_1_1_1_1_1_1_16">#REF!</definedName>
    <definedName name="Excel_BuiltIn_Print_Area_1_1_1_1_1_1_1_1_1_1_16">#REF!</definedName>
    <definedName name="Excel_BuiltIn_Print_Area_1_1_1_1_1_1_1_1_1_10">NA()</definedName>
    <definedName name="Excel_BuiltIn_Print_Area_1_1_1_1_1_1_1_1_1_11">NA()</definedName>
    <definedName name="Excel_BuiltIn_Print_Area_1_1_1_1_1_1_1_1_1_2">NA()</definedName>
    <definedName name="Excel_BuiltIn_Print_Area_1_1_1_1_1_1_1_1_1_2_1">NA()</definedName>
    <definedName name="Excel_BuiltIn_Print_Area_1_1_1_1_1_1_1_1_1_3">NA()</definedName>
    <definedName name="Excel_BuiltIn_Print_Area_1_1_1_1_1_1_1_1_1_3_1">NA()</definedName>
    <definedName name="Excel_BuiltIn_Print_Area_1_1_1_1_1_1_1_1_1_4">NA()</definedName>
    <definedName name="Excel_BuiltIn_Print_Area_1_1_1_1_1_1_1_1_1_6">NA()</definedName>
    <definedName name="Excel_BuiltIn_Print_Area_1_1_1_1_1_1_1_1_1_8">NA()</definedName>
    <definedName name="Excel_BuiltIn_Print_Area_1_1_1_1_1_1_1_1_1_9">NA()</definedName>
    <definedName name="Excel_BuiltIn_Print_Area_1_1_1_1_1_1_1_1_10">NA()</definedName>
    <definedName name="Excel_BuiltIn_Print_Area_1_1_1_1_1_1_1_1_11">NA()</definedName>
    <definedName name="Excel_BuiltIn_Print_Area_1_1_1_1_1_1_1_1_16">#REF!</definedName>
    <definedName name="Excel_BuiltIn_Print_Area_1_1_1_1_1_1_1_1_9">NA()</definedName>
    <definedName name="Excel_BuiltIn_Print_Area_1_1_1_1_1_1_1_10">NA()</definedName>
    <definedName name="Excel_BuiltIn_Print_Area_1_1_1_1_1_1_1_11">NA()</definedName>
    <definedName name="Excel_BuiltIn_Print_Area_1_1_1_1_1_1_1_16">#REF!</definedName>
    <definedName name="Excel_BuiltIn_Print_Area_1_1_1_1_1_1_1_2">NA()</definedName>
    <definedName name="Excel_BuiltIn_Print_Area_1_1_1_1_1_1_1_9">NA()</definedName>
    <definedName name="Excel_BuiltIn_Print_Area_1_1_1_1_1_1_10">NA()</definedName>
    <definedName name="Excel_BuiltIn_Print_Area_1_1_1_1_1_1_11">NA()</definedName>
    <definedName name="Excel_BuiltIn_Print_Area_1_1_1_1_1_1_9">NA()</definedName>
    <definedName name="Excel_BuiltIn_Print_Area_1_1_1_1_1_10">NA()</definedName>
    <definedName name="Excel_BuiltIn_Print_Area_1_1_1_1_1_11">NA()</definedName>
    <definedName name="Excel_BuiltIn_Print_Area_1_1_1_1_1_9">NA()</definedName>
    <definedName name="Excel_BuiltIn_Print_Area_1_1_1_1_10">NA()</definedName>
    <definedName name="Excel_BuiltIn_Print_Area_1_1_1_1_11">NA()</definedName>
    <definedName name="Excel_BuiltIn_Print_Area_1_1_1_1_16">#REF!</definedName>
    <definedName name="Excel_BuiltIn_Print_Area_1_1_1_1_9">NA()</definedName>
    <definedName name="Excel_BuiltIn_Print_Area_1_1_1_10">NA()</definedName>
    <definedName name="Excel_BuiltIn_Print_Area_1_1_1_11">NA()</definedName>
    <definedName name="Excel_BuiltIn_Print_Area_1_1_1_2">NA()</definedName>
    <definedName name="Excel_BuiltIn_Print_Area_1_1_1_3">#REF!</definedName>
    <definedName name="Excel_BuiltIn_Print_Area_1_1_1_9">NA()</definedName>
    <definedName name="Excel_BuiltIn_Print_Area_1_1_10">NA()</definedName>
    <definedName name="Excel_BuiltIn_Print_Area_1_1_11">NA()</definedName>
    <definedName name="Excel_BuiltIn_Print_Area_1_1_2">"#REF!"</definedName>
    <definedName name="Excel_BuiltIn_Print_Area_1_1_2_3">#REF!</definedName>
    <definedName name="Excel_BuiltIn_Print_Area_1_1_3">#REF!</definedName>
    <definedName name="Excel_BuiltIn_Print_Area_1_1_4">#REF!</definedName>
    <definedName name="Excel_BuiltIn_Print_Area_1_1_6">#REF!</definedName>
    <definedName name="Excel_BuiltIn_Print_Area_1_1_8">#REF!</definedName>
    <definedName name="Excel_BuiltIn_Print_Area_1_1_9">NA()</definedName>
    <definedName name="Excel_BuiltIn_Print_Area_10">#REF!</definedName>
    <definedName name="Excel_BuiltIn_Print_Area_10_1">#REF!</definedName>
    <definedName name="Excel_BuiltIn_Print_Area_10_1_1">"$#REF!.$A$1:$J$74"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_1_1_1_1">#REF!</definedName>
    <definedName name="Excel_BuiltIn_Print_Area_10_1_1_1_1_1_1_1_1_1">#REF!</definedName>
    <definedName name="Excel_BuiltIn_Print_Area_10_1_1_1_1_1_1_1_1_1_1">#REF!</definedName>
    <definedName name="Excel_BuiltIn_Print_Area_10_1_1_1_1_1_1_1_1_1_1_1">#REF!</definedName>
    <definedName name="Excel_BuiltIn_Print_Area_10_1_1_1_1_1_1_1_1_1_1_1_1">#REF!</definedName>
    <definedName name="Excel_BuiltIn_Print_Area_10_1_1_1_1_1_1_1_1_1_1_1_1_1">#REF!</definedName>
    <definedName name="Excel_BuiltIn_Print_Area_10_1_1_1_1_1_1_1_1_1_1_1_1_1_1">#REF!</definedName>
    <definedName name="Excel_BuiltIn_Print_Area_10_1_10">NA()</definedName>
    <definedName name="Excel_BuiltIn_Print_Area_10_1_11">NA()</definedName>
    <definedName name="Excel_BuiltIn_Print_Area_10_1_2">NA()</definedName>
    <definedName name="Excel_BuiltIn_Print_Area_10_1_3">NA()</definedName>
    <definedName name="Excel_BuiltIn_Print_Area_10_1_4">NA()</definedName>
    <definedName name="Excel_BuiltIn_Print_Area_10_1_6">NA()</definedName>
    <definedName name="Excel_BuiltIn_Print_Area_10_1_8">NA()</definedName>
    <definedName name="Excel_BuiltIn_Print_Area_10_1_9">NA()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0">NA()</definedName>
    <definedName name="Excel_BuiltIn_Print_Area_11_11">NA()</definedName>
    <definedName name="Excel_BuiltIn_Print_Area_11_9">NA()</definedName>
    <definedName name="Excel_BuiltIn_Print_Area_12">NA()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NA()</definedName>
    <definedName name="Excel_BuiltIn_Print_Area_12_1_1_1_1_1_1_1">NA()</definedName>
    <definedName name="Excel_BuiltIn_Print_Area_12_1_1_1_1_1_1_1_1">NA()</definedName>
    <definedName name="Excel_BuiltIn_Print_Area_12_1_1_1_1_1_1_1_1_1">#REF!</definedName>
    <definedName name="Excel_BuiltIn_Print_Area_12_1_1_1_1_1_1_1_1_1_1">NA()</definedName>
    <definedName name="Excel_BuiltIn_Print_Area_12_1_1_1_1_1_1_1_1_1_1_1">#REF!</definedName>
    <definedName name="Excel_BuiltIn_Print_Area_12_2">NA()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NA()</definedName>
    <definedName name="Excel_BuiltIn_Print_Area_13_1_1_1_1_1">#REF!</definedName>
    <definedName name="Excel_BuiltIn_Print_Area_13_1_1_1_1_1_1">#REF!</definedName>
    <definedName name="Excel_BuiltIn_Print_Area_13_1_1_1_1_1_1_1">NA()</definedName>
    <definedName name="Excel_BuiltIn_Print_Area_13_1_1_1_1_1_1_1_1">NA()</definedName>
    <definedName name="Excel_BuiltIn_Print_Area_13_1_1_1_1_1_1_1_1_1">#REF!</definedName>
    <definedName name="Excel_BuiltIn_Print_Area_14">#REF!</definedName>
    <definedName name="Excel_BuiltIn_Print_Area_14_1">"$#REF!.$A$1:$H$66"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1_1">#REF!</definedName>
    <definedName name="Excel_BuiltIn_Print_Area_14_1_1_1_1_1_1">#REF!</definedName>
    <definedName name="Excel_BuiltIn_Print_Area_14_1_1_1_1_1_1_1">NA()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5_1_1_1_1_1_1">#REF!</definedName>
    <definedName name="Excel_BuiltIn_Print_Area_15_1_1_1_1_1_1_1">#REF!</definedName>
    <definedName name="Excel_BuiltIn_Print_Area_15_1_1_1_1_1_1_1_1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_1">#REF!</definedName>
    <definedName name="Excel_BuiltIn_Print_Area_16_1_1_1_1_1_1_1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_1">#REF!</definedName>
    <definedName name="Excel_BuiltIn_Print_Area_17_1_1_1_1_1_1_1">#REF!</definedName>
    <definedName name="Excel_BuiltIn_Print_Area_17_1_1_1_1_1_1_1_1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9">#REF!</definedName>
    <definedName name="Excel_BuiltIn_Print_Area_19_1">#REF!</definedName>
    <definedName name="Excel_BuiltIn_Print_Area_19_1_1">#REF!</definedName>
    <definedName name="Excel_BuiltIn_Print_Area_19_1_1_1">#REF!</definedName>
    <definedName name="Excel_BuiltIn_Print_Area_19_1_1_1_1">#REF!</definedName>
    <definedName name="Excel_BuiltIn_Print_Area_19_1_1_1_1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"$#REF!.$A$1:$H$119"</definedName>
    <definedName name="Excel_BuiltIn_Print_Area_2_1_1_1_1">"$#REF!.$A$1:$H$27"</definedName>
    <definedName name="Excel_BuiltIn_Print_Area_2_1_1_1_1_1">#REF!</definedName>
    <definedName name="Excel_BuiltIn_Print_Area_2_1_10">NA()</definedName>
    <definedName name="Excel_BuiltIn_Print_Area_2_1_11">NA()</definedName>
    <definedName name="Excel_BuiltIn_Print_Area_2_1_9">NA()</definedName>
    <definedName name="Excel_BuiltIn_Print_Area_2_2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1">#REF!</definedName>
    <definedName name="Excel_BuiltIn_Print_Area_21_1">#REF!</definedName>
    <definedName name="Excel_BuiltIn_Print_Area_21_1_1">#REF!</definedName>
    <definedName name="Excel_BuiltIn_Print_Area_22">#REF!</definedName>
    <definedName name="Excel_BuiltIn_Print_Area_22_1">#REF!</definedName>
    <definedName name="Excel_BuiltIn_Print_Area_22_1_1">#REF!</definedName>
    <definedName name="Excel_BuiltIn_Print_Area_23">#REF!</definedName>
    <definedName name="Excel_BuiltIn_Print_Area_23_1">#REF!</definedName>
    <definedName name="Excel_BuiltIn_Print_Area_24">#REF!</definedName>
    <definedName name="Excel_BuiltIn_Print_Area_24_1">#REF!</definedName>
    <definedName name="Excel_BuiltIn_Print_Area_24_1_1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6">#REF!</definedName>
    <definedName name="Excel_BuiltIn_Print_Area_26_1">#REF!</definedName>
    <definedName name="Excel_BuiltIn_Print_Area_26_1_1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9">#REF!</definedName>
    <definedName name="Excel_BuiltIn_Print_Area_29_1">#REF!</definedName>
    <definedName name="Excel_BuiltIn_Print_Area_3">NA()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NA()</definedName>
    <definedName name="Excel_BuiltIn_Print_Area_3_1_1_1_1_1">NA()</definedName>
    <definedName name="Excel_BuiltIn_Print_Area_3_1_1_1_1_1_1">#REF!</definedName>
    <definedName name="Excel_BuiltIn_Print_Area_3_1_1_1_1_1_1_1">NA()</definedName>
    <definedName name="Excel_BuiltIn_Print_Area_3_1_1_1_1_1_1_1_1">"$#REF!.$A$2:$J$32"</definedName>
    <definedName name="Excel_BuiltIn_Print_Area_3_1_1_1_1_1_1_1_1_1">"$#REF!.$A$2:$J$38"</definedName>
    <definedName name="Excel_BuiltIn_Print_Area_3_1_1_1_1_1_1_1_1_1_1">"$#REF!.$A$11:$J$28"</definedName>
    <definedName name="Excel_BuiltIn_Print_Area_3_1_1_1_1_1_1_1_1_1_1_1">"$#REF!.$A$2:$J$32"</definedName>
    <definedName name="Excel_BuiltIn_Print_Area_3_1_1_1_1_1_1_1_1_1_1_1_1">"$#REF!.$A$11:$J$28"</definedName>
    <definedName name="Excel_BuiltIn_Print_Area_3_1_1_1_1_1_10">"$#REF!.$A$2:$J$32"</definedName>
    <definedName name="Excel_BuiltIn_Print_Area_3_1_1_1_1_1_11">"$#REF!.$A$2:$J$32"</definedName>
    <definedName name="Excel_BuiltIn_Print_Area_3_1_1_1_1_1_2">"$#REF!.$A$11:$J$28"</definedName>
    <definedName name="Excel_BuiltIn_Print_Area_3_1_1_1_1_1_3">"$#REF!.$A$11:$J$28"</definedName>
    <definedName name="Excel_BuiltIn_Print_Area_3_1_1_1_1_1_4">"$#REF!.$A$11:$J$28"</definedName>
    <definedName name="Excel_BuiltIn_Print_Area_3_1_1_1_1_1_6">"$#REF!.$A$11:$J$28"</definedName>
    <definedName name="Excel_BuiltIn_Print_Area_3_1_1_1_1_1_8">"$#REF!.$A$11:$J$28"</definedName>
    <definedName name="Excel_BuiltIn_Print_Area_3_1_1_1_1_1_9">"$#REF!.$A$2:$J$32"</definedName>
    <definedName name="Excel_BuiltIn_Print_Area_3_1_1_1_1_10">"$#REF!.$A$2:$J$38"</definedName>
    <definedName name="Excel_BuiltIn_Print_Area_3_1_1_1_1_11">"$#REF!.$A$2:$J$38"</definedName>
    <definedName name="Excel_BuiltIn_Print_Area_3_1_1_1_1_2">"$#REF!.$A$2:$J$32"</definedName>
    <definedName name="Excel_BuiltIn_Print_Area_3_1_1_1_1_3">"$#REF!.$A$2:$J$32"</definedName>
    <definedName name="Excel_BuiltIn_Print_Area_3_1_1_1_1_4">"$#REF!.$A$2:$J$32"</definedName>
    <definedName name="Excel_BuiltIn_Print_Area_3_1_1_1_1_6">"$#REF!.$A$2:$J$32"</definedName>
    <definedName name="Excel_BuiltIn_Print_Area_3_1_1_1_1_8">"$#REF!.$A$2:$J$32"</definedName>
    <definedName name="Excel_BuiltIn_Print_Area_3_1_1_1_1_9">"$#REF!.$A$2:$J$38"</definedName>
    <definedName name="Excel_BuiltIn_Print_Area_3_1_1_2">"$#REF!.$A$1:$J$41"</definedName>
    <definedName name="Excel_BuiltIn_Print_Area_3_1_1_32">(#REF!,#REF!)</definedName>
    <definedName name="Excel_BuiltIn_Print_Area_3_1_1_32_38">(#REF!,#REF!)</definedName>
    <definedName name="Excel_BuiltIn_Print_Area_3_1_1_33">(#REF!,#REF!)</definedName>
    <definedName name="Excel_BuiltIn_Print_Area_3_1_1_33_38">(#REF!,#REF!)</definedName>
    <definedName name="Excel_BuiltIn_Print_Area_3_1_1_38">(#REF!,#REF!)</definedName>
    <definedName name="Excel_BuiltIn_Print_Area_3_1_1_5">#REF!</definedName>
    <definedName name="Excel_BuiltIn_Print_Area_3_1_10">NA()</definedName>
    <definedName name="Excel_BuiltIn_Print_Area_3_1_11">NA()</definedName>
    <definedName name="Excel_BuiltIn_Print_Area_3_1_17">(#REF!,#REF!)</definedName>
    <definedName name="Excel_BuiltIn_Print_Area_3_1_17_32">(#REF!,#REF!)</definedName>
    <definedName name="Excel_BuiltIn_Print_Area_3_1_17_32_38">(#REF!,#REF!)</definedName>
    <definedName name="Excel_BuiltIn_Print_Area_3_1_17_33">(#REF!,#REF!)</definedName>
    <definedName name="Excel_BuiltIn_Print_Area_3_1_17_33_38">(#REF!,#REF!)</definedName>
    <definedName name="Excel_BuiltIn_Print_Area_3_1_17_38">(#REF!,#REF!)</definedName>
    <definedName name="Excel_BuiltIn_Print_Area_3_1_2">NA()</definedName>
    <definedName name="Excel_BuiltIn_Print_Area_3_1_3">NA()</definedName>
    <definedName name="Excel_BuiltIn_Print_Area_3_1_4">NA()</definedName>
    <definedName name="Excel_BuiltIn_Print_Area_3_1_6">NA()</definedName>
    <definedName name="Excel_BuiltIn_Print_Area_3_1_8">NA()</definedName>
    <definedName name="Excel_BuiltIn_Print_Area_3_1_9">NA()</definedName>
    <definedName name="Excel_BuiltIn_Print_Area_3_10">#REF!</definedName>
    <definedName name="Excel_BuiltIn_Print_Area_3_3">#REF!</definedName>
    <definedName name="Excel_BuiltIn_Print_Area_3_4">#REF!</definedName>
    <definedName name="Excel_BuiltIn_Print_Area_3_5">#REF!</definedName>
    <definedName name="Excel_BuiltIn_Print_Area_3_6">#REF!</definedName>
    <definedName name="Excel_BuiltIn_Print_Area_3_8">#REF!</definedName>
    <definedName name="Excel_BuiltIn_Print_Area_30">#REF!</definedName>
    <definedName name="Excel_BuiltIn_Print_Area_30_1">#REF!</definedName>
    <definedName name="Excel_BuiltIn_Print_Area_30_1_1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NA()</definedName>
    <definedName name="Excel_BuiltIn_Print_Area_4_1_1_1_1_1_1">NA()</definedName>
    <definedName name="Excel_BuiltIn_Print_Area_4_1_1_1_1_1_1_1">NA()</definedName>
    <definedName name="Excel_BuiltIn_Print_Area_4_1_1_1_1_1_1_1_1">#REF!</definedName>
    <definedName name="Excel_BuiltIn_Print_Area_4_1_1_1_1_1_1_1_1_1">NA()</definedName>
    <definedName name="Excel_BuiltIn_Print_Area_4_1_1_1_1_1_1_1_1_1_1">"$#REF!.$A$1:$IV$65536"</definedName>
    <definedName name="Excel_BuiltIn_Print_Area_4_1_1_1_1_1_1_1_1_1_1_1">NA()</definedName>
    <definedName name="Excel_BuiltIn_Print_Area_4_1_1_1_1_1_1_1_1_1_1_1_1">"$#REF!.$A$1:$IV$65536"</definedName>
    <definedName name="Excel_BuiltIn_Print_Area_4_1_1_1_1_1_1_1_1_1_1_1_1_1">"$#REF!.$A$2:$J$39"</definedName>
    <definedName name="Excel_BuiltIn_Print_Area_4_1_1_1_1_1_10">"$#REF!.$A$1:$IV$65536"</definedName>
    <definedName name="Excel_BuiltIn_Print_Area_4_1_1_1_1_1_11">"$#REF!.$A$1:$IV$65536"</definedName>
    <definedName name="Excel_BuiltIn_Print_Area_4_1_1_1_1_1_2">"$#REF!.$A$1:$IV$65536"</definedName>
    <definedName name="Excel_BuiltIn_Print_Area_4_1_1_1_1_1_2_1">"$#REF!.$A$2:$J$39"</definedName>
    <definedName name="Excel_BuiltIn_Print_Area_4_1_1_1_1_1_3">"$#REF!.$A$1:$IV$65536"</definedName>
    <definedName name="Excel_BuiltIn_Print_Area_4_1_1_1_1_1_4">"$#REF!.$A$1:$IV$65536"</definedName>
    <definedName name="Excel_BuiltIn_Print_Area_4_1_1_1_1_1_6">"$#REF!.$A$1:$IV$65536"</definedName>
    <definedName name="Excel_BuiltIn_Print_Area_4_1_1_1_1_1_8">"$#REF!.$A$1:$IV$65536"</definedName>
    <definedName name="Excel_BuiltIn_Print_Area_4_1_1_1_1_1_9">"$#REF!.$A$1:$IV$65536"</definedName>
    <definedName name="Excel_BuiltIn_Print_Area_4_1_1_1_1_10">NA()</definedName>
    <definedName name="Excel_BuiltIn_Print_Area_4_1_1_1_1_11">NA()</definedName>
    <definedName name="Excel_BuiltIn_Print_Area_4_1_1_1_1_2">NA()</definedName>
    <definedName name="Excel_BuiltIn_Print_Area_4_1_1_1_1_3">NA()</definedName>
    <definedName name="Excel_BuiltIn_Print_Area_4_1_1_1_1_4">NA()</definedName>
    <definedName name="Excel_BuiltIn_Print_Area_4_1_1_1_1_6">NA()</definedName>
    <definedName name="Excel_BuiltIn_Print_Area_4_1_1_1_1_8">NA()</definedName>
    <definedName name="Excel_BuiltIn_Print_Area_4_1_1_1_1_9">NA()</definedName>
    <definedName name="Excel_BuiltIn_Print_Area_4_1_1_1_10">NA()</definedName>
    <definedName name="Excel_BuiltIn_Print_Area_4_1_1_1_11">NA()</definedName>
    <definedName name="Excel_BuiltIn_Print_Area_4_1_1_1_2">NA()</definedName>
    <definedName name="Excel_BuiltIn_Print_Area_4_1_1_1_3">NA()</definedName>
    <definedName name="Excel_BuiltIn_Print_Area_4_1_1_1_4">NA()</definedName>
    <definedName name="Excel_BuiltIn_Print_Area_4_1_1_1_6">NA()</definedName>
    <definedName name="Excel_BuiltIn_Print_Area_4_1_1_1_8">NA()</definedName>
    <definedName name="Excel_BuiltIn_Print_Area_4_1_1_1_9">NA()</definedName>
    <definedName name="Excel_BuiltIn_Print_Area_4_1_1_10">"$#REF!.$A$2:$J$39"</definedName>
    <definedName name="Excel_BuiltIn_Print_Area_4_1_1_11">"$#REF!.$A$2:$J$39"</definedName>
    <definedName name="Excel_BuiltIn_Print_Area_4_1_1_2">"$#REF!.$A$2:$J$39"</definedName>
    <definedName name="Excel_BuiltIn_Print_Area_4_1_1_3">"$#REF!.$A$2:$J$39"</definedName>
    <definedName name="Excel_BuiltIn_Print_Area_4_1_1_4">"$#REF!.$A$2:$J$39"</definedName>
    <definedName name="Excel_BuiltIn_Print_Area_4_1_1_6">"$#REF!.$A$2:$J$39"</definedName>
    <definedName name="Excel_BuiltIn_Print_Area_4_1_1_8">"$#REF!.$A$2:$J$39"</definedName>
    <definedName name="Excel_BuiltIn_Print_Area_4_1_1_9">"$#REF!.$A$2:$J$39"</definedName>
    <definedName name="Excel_BuiltIn_Print_Area_4_1_10">"$#REF!.$A$1:$IV$65536"</definedName>
    <definedName name="Excel_BuiltIn_Print_Area_4_1_11">"$#REF!.$A$1:$IV$65536"</definedName>
    <definedName name="Excel_BuiltIn_Print_Area_4_1_2">"$#REF!.$A$1:$IV$65536"</definedName>
    <definedName name="Excel_BuiltIn_Print_Area_4_1_3">"$#REF!.$A$1:$IV$65536"</definedName>
    <definedName name="Excel_BuiltIn_Print_Area_4_1_4">"$#REF!.$A$1:$IV$65536"</definedName>
    <definedName name="Excel_BuiltIn_Print_Area_4_1_6">"$#REF!.$A$1:$IV$65536"</definedName>
    <definedName name="Excel_BuiltIn_Print_Area_4_1_8">"$#REF!.$A$1:$IV$65536"</definedName>
    <definedName name="Excel_BuiltIn_Print_Area_4_1_9">"$#REF!.$A$1:$IV$65536"</definedName>
    <definedName name="Excel_BuiltIn_Print_Area_4_10">NA()</definedName>
    <definedName name="Excel_BuiltIn_Print_Area_4_11">NA()</definedName>
    <definedName name="Excel_BuiltIn_Print_Area_4_2">#REF!</definedName>
    <definedName name="Excel_BuiltIn_Print_Area_4_3">NA()</definedName>
    <definedName name="Excel_BuiltIn_Print_Area_4_4">NA()</definedName>
    <definedName name="Excel_BuiltIn_Print_Area_4_6">NA()</definedName>
    <definedName name="Excel_BuiltIn_Print_Area_4_8">NA()</definedName>
    <definedName name="Excel_BuiltIn_Print_Area_4_9">NA()</definedName>
    <definedName name="Excel_BuiltIn_Print_Area_44_1">#REF!</definedName>
    <definedName name="Excel_BuiltIn_Print_Area_45_1">#REF!</definedName>
    <definedName name="Excel_BuiltIn_Print_Area_5">NA()</definedName>
    <definedName name="Excel_BuiltIn_Print_Area_5_1">#REF!</definedName>
    <definedName name="Excel_BuiltIn_Print_Area_5_1_1">"$#REF!.$A$1:$H$119"</definedName>
    <definedName name="Excel_BuiltIn_Print_Area_5_1_1_1">"$#REF!.$A$1:$H$4838"</definedName>
    <definedName name="Excel_BuiltIn_Print_Area_5_1_1_1_1">NA()</definedName>
    <definedName name="Excel_BuiltIn_Print_Area_5_1_1_1_1_1">NA()</definedName>
    <definedName name="Excel_BuiltIn_Print_Area_5_1_1_1_1_1_1">NA()</definedName>
    <definedName name="Excel_BuiltIn_Print_Area_5_1_1_1_1_1_1_1">NA()</definedName>
    <definedName name="Excel_BuiltIn_Print_Area_5_1_1_1_1_1_1_1_1">(#REF!,#REF!)</definedName>
    <definedName name="Excel_BuiltIn_Print_Area_5_1_1_1_1_1_1_1_1_1">NA()</definedName>
    <definedName name="Excel_BuiltIn_Print_Area_5_1_1_1_1_1_1_1_1_1_1">"$#REF!.$A$2:$J$39"</definedName>
    <definedName name="Excel_BuiltIn_Print_Area_5_1_1_1_1_1_1_1_1_1_1_1">"$#REF!.$A$1:$IV$65536"</definedName>
    <definedName name="Excel_BuiltIn_Print_Area_5_1_1_1_1_1_1_1_1_1_1_1_1">"$#REF!.$A$1:$IV$65536"</definedName>
    <definedName name="Excel_BuiltIn_Print_Area_5_1_1_1_1_1_1_1_1_1_1_1_1_1">"$#REF!.$A$2:$J$39"</definedName>
    <definedName name="Excel_BuiltIn_Print_Area_5_1_1_1_1_1_1_1_1_1_1_1_1_1_1">"$#REF!.$A$2:$J$39"</definedName>
    <definedName name="Excel_BuiltIn_Print_Area_5_1_1_1_1_1_10">"$#REF!.$A$1:$IV$65536"</definedName>
    <definedName name="Excel_BuiltIn_Print_Area_5_1_1_1_1_1_11">"$#REF!.$A$1:$IV$65536"</definedName>
    <definedName name="Excel_BuiltIn_Print_Area_5_1_1_1_1_1_2">"$#REF!.$A$1:$IV$65536"</definedName>
    <definedName name="Excel_BuiltIn_Print_Area_5_1_1_1_1_1_3">"$#REF!.$A$1:$IV$65536"</definedName>
    <definedName name="Excel_BuiltIn_Print_Area_5_1_1_1_1_1_4">"$#REF!.$A$1:$IV$65536"</definedName>
    <definedName name="Excel_BuiltIn_Print_Area_5_1_1_1_1_1_6">"$#REF!.$A$1:$IV$65536"</definedName>
    <definedName name="Excel_BuiltIn_Print_Area_5_1_1_1_1_1_8">"$#REF!.$A$1:$IV$65536"</definedName>
    <definedName name="Excel_BuiltIn_Print_Area_5_1_1_1_1_1_9">"$#REF!.$A$1:$IV$65536"</definedName>
    <definedName name="Excel_BuiltIn_Print_Area_5_1_1_1_1_10">"$#REF!.$A$2:$J$39"</definedName>
    <definedName name="Excel_BuiltIn_Print_Area_5_1_1_1_1_11">"$#REF!.$A$2:$J$39"</definedName>
    <definedName name="Excel_BuiltIn_Print_Area_5_1_1_1_1_2">"$#REF!.$A$2:$J$39"</definedName>
    <definedName name="Excel_BuiltIn_Print_Area_5_1_1_1_1_3">"$#REF!.$A$2:$J$39"</definedName>
    <definedName name="Excel_BuiltIn_Print_Area_5_1_1_1_1_4">"$#REF!.$A$2:$J$39"</definedName>
    <definedName name="Excel_BuiltIn_Print_Area_5_1_1_1_1_6">"$#REF!.$A$2:$J$39"</definedName>
    <definedName name="Excel_BuiltIn_Print_Area_5_1_1_1_1_8">"$#REF!.$A$2:$J$39"</definedName>
    <definedName name="Excel_BuiltIn_Print_Area_5_1_1_1_1_9">"$#REF!.$A$2:$J$39"</definedName>
    <definedName name="Excel_BuiltIn_Print_Area_5_1_1_1_10">"$#REF!.$A$1:$IV$65536"</definedName>
    <definedName name="Excel_BuiltIn_Print_Area_5_1_1_1_11">"$#REF!.$A$1:$IV$65536"</definedName>
    <definedName name="Excel_BuiltIn_Print_Area_5_1_1_1_2">"$#REF!.$A$2:$J$39"</definedName>
    <definedName name="Excel_BuiltIn_Print_Area_5_1_1_1_2_1">NA()</definedName>
    <definedName name="Excel_BuiltIn_Print_Area_5_1_1_1_3">"$#REF!.$A$2:$J$39"</definedName>
    <definedName name="Excel_BuiltIn_Print_Area_5_1_1_1_4">"$#REF!.$A$2:$J$39"</definedName>
    <definedName name="Excel_BuiltIn_Print_Area_5_1_1_1_6">"$#REF!.$A$2:$J$39"</definedName>
    <definedName name="Excel_BuiltIn_Print_Area_5_1_1_1_8">"$#REF!.$A$2:$J$39"</definedName>
    <definedName name="Excel_BuiltIn_Print_Area_5_1_1_1_9">"$#REF!.$A$1:$IV$65536"</definedName>
    <definedName name="Excel_BuiltIn_Print_Area_5_1_1_10">NA()</definedName>
    <definedName name="Excel_BuiltIn_Print_Area_5_1_1_11">NA()</definedName>
    <definedName name="Excel_BuiltIn_Print_Area_5_1_1_2">NA()</definedName>
    <definedName name="Excel_BuiltIn_Print_Area_5_1_1_3">NA()</definedName>
    <definedName name="Excel_BuiltIn_Print_Area_5_1_1_4">NA()</definedName>
    <definedName name="Excel_BuiltIn_Print_Area_5_1_1_6">NA()</definedName>
    <definedName name="Excel_BuiltIn_Print_Area_5_1_1_8">NA()</definedName>
    <definedName name="Excel_BuiltIn_Print_Area_5_1_1_9">NA()</definedName>
    <definedName name="Excel_BuiltIn_Print_Area_5_1_10">NA()</definedName>
    <definedName name="Excel_BuiltIn_Print_Area_5_1_11">NA()</definedName>
    <definedName name="Excel_BuiltIn_Print_Area_5_1_12">#REF!</definedName>
    <definedName name="Excel_BuiltIn_Print_Area_5_1_13">#REF!</definedName>
    <definedName name="Excel_BuiltIn_Print_Area_5_1_2">NA()</definedName>
    <definedName name="Excel_BuiltIn_Print_Area_5_1_3">NA()</definedName>
    <definedName name="Excel_BuiltIn_Print_Area_5_1_4">NA()</definedName>
    <definedName name="Excel_BuiltIn_Print_Area_5_1_5">#REF!</definedName>
    <definedName name="Excel_BuiltIn_Print_Area_5_1_6">NA()</definedName>
    <definedName name="Excel_BuiltIn_Print_Area_5_1_7">#REF!</definedName>
    <definedName name="Excel_BuiltIn_Print_Area_5_1_8">NA()</definedName>
    <definedName name="Excel_BuiltIn_Print_Area_5_1_9">NA()</definedName>
    <definedName name="Excel_BuiltIn_Print_Area_5_10">NA()</definedName>
    <definedName name="Excel_BuiltIn_Print_Area_5_11">NA()</definedName>
    <definedName name="Excel_BuiltIn_Print_Area_5_2">NA()</definedName>
    <definedName name="Excel_BuiltIn_Print_Area_5_3">NA()</definedName>
    <definedName name="Excel_BuiltIn_Print_Area_5_4">NA()</definedName>
    <definedName name="Excel_BuiltIn_Print_Area_5_6">NA()</definedName>
    <definedName name="Excel_BuiltIn_Print_Area_5_8">NA()</definedName>
    <definedName name="Excel_BuiltIn_Print_Area_5_9">NA()</definedName>
    <definedName name="Excel_BuiltIn_Print_Area_6">#REF!</definedName>
    <definedName name="Excel_BuiltIn_Print_Area_6_1">#REF!</definedName>
    <definedName name="Excel_BuiltIn_Print_Area_6_1_1">"$#REF!.$A$1:$J$633"</definedName>
    <definedName name="Excel_BuiltIn_Print_Area_6_1_1_1">"$#REF!.$A$1:$H$119"</definedName>
    <definedName name="Excel_BuiltIn_Print_Area_6_1_1_1_1">#REF!</definedName>
    <definedName name="Excel_BuiltIn_Print_Area_6_1_1_1_1_1">#REF!</definedName>
    <definedName name="Excel_BuiltIn_Print_Area_6_1_1_1_1_1_1">#REF!</definedName>
    <definedName name="Excel_BuiltIn_Print_Area_6_1_1_1_1_1_1_1">#REF!</definedName>
    <definedName name="Excel_BuiltIn_Print_Area_6_1_1_1_1_1_1_1_1">NA()</definedName>
    <definedName name="Excel_BuiltIn_Print_Area_6_1_1_1_1_1_1_1_1_1">NA()</definedName>
    <definedName name="Excel_BuiltIn_Print_Area_6_1_1_1_1_1_1_1_1_1_1">"$#REF!.$A$1:$IV$65536"</definedName>
    <definedName name="Excel_BuiltIn_Print_Area_6_1_1_1_1_1_1_1_1_1_1_1">"$#REF!.$A$1:$IV$65536"</definedName>
    <definedName name="Excel_BuiltIn_Print_Area_6_1_1_1_1_1_1_1_1_1_1_1_1">"$#REF!.$A$1:$IV$65536"</definedName>
    <definedName name="Excel_BuiltIn_Print_Area_6_1_1_1_1_10">NA()</definedName>
    <definedName name="Excel_BuiltIn_Print_Area_6_1_1_1_1_11">NA()</definedName>
    <definedName name="Excel_BuiltIn_Print_Area_6_1_1_1_1_2">NA()</definedName>
    <definedName name="Excel_BuiltIn_Print_Area_6_1_1_1_1_3">NA()</definedName>
    <definedName name="Excel_BuiltIn_Print_Area_6_1_1_1_1_4">NA()</definedName>
    <definedName name="Excel_BuiltIn_Print_Area_6_1_1_1_1_6">NA()</definedName>
    <definedName name="Excel_BuiltIn_Print_Area_6_1_1_1_1_8">NA()</definedName>
    <definedName name="Excel_BuiltIn_Print_Area_6_1_1_1_1_9">NA()</definedName>
    <definedName name="Excel_BuiltIn_Print_Area_6_1_1_1_10">"$#REF!.$A$1:$IV$65536"</definedName>
    <definedName name="Excel_BuiltIn_Print_Area_6_1_1_1_11">"$#REF!.$A$1:$IV$65536"</definedName>
    <definedName name="Excel_BuiltIn_Print_Area_6_1_1_1_2">"$#REF!.$A$1:$IV$65536"</definedName>
    <definedName name="Excel_BuiltIn_Print_Area_6_1_1_1_3">"$#REF!.$A$1:$IV$65536"</definedName>
    <definedName name="Excel_BuiltIn_Print_Area_6_1_1_1_4">"$#REF!.$A$1:$IV$65536"</definedName>
    <definedName name="Excel_BuiltIn_Print_Area_6_1_1_1_6">"$#REF!.$A$1:$IV$65536"</definedName>
    <definedName name="Excel_BuiltIn_Print_Area_6_1_1_1_8">"$#REF!.$A$1:$IV$65536"</definedName>
    <definedName name="Excel_BuiltIn_Print_Area_6_1_1_1_9">"$#REF!.$A$1:$IV$65536"</definedName>
    <definedName name="Excel_BuiltIn_Print_Area_6_1_1_10">"$#REF!.$A$1:$IV$65536"</definedName>
    <definedName name="Excel_BuiltIn_Print_Area_6_1_1_11">"$#REF!.$A$1:$IV$65536"</definedName>
    <definedName name="Excel_BuiltIn_Print_Area_6_1_1_2">"$#REF!.$A$1:$IV$65536"</definedName>
    <definedName name="Excel_BuiltIn_Print_Area_6_1_1_3">"$#REF!.$A$1:$IV$65536"</definedName>
    <definedName name="Excel_BuiltIn_Print_Area_6_1_1_4">"$#REF!.$A$1:$IV$65536"</definedName>
    <definedName name="Excel_BuiltIn_Print_Area_6_1_1_6">"$#REF!.$A$1:$IV$65536"</definedName>
    <definedName name="Excel_BuiltIn_Print_Area_6_1_1_8">"$#REF!.$A$1:$IV$65536"</definedName>
    <definedName name="Excel_BuiltIn_Print_Area_6_1_1_9">"$#REF!.$A$1:$IV$65536"</definedName>
    <definedName name="Excel_BuiltIn_Print_Area_6_1_10">NA()</definedName>
    <definedName name="Excel_BuiltIn_Print_Area_6_1_11">NA()</definedName>
    <definedName name="Excel_BuiltIn_Print_Area_6_1_2">NA()</definedName>
    <definedName name="Excel_BuiltIn_Print_Area_6_1_3">NA()</definedName>
    <definedName name="Excel_BuiltIn_Print_Area_6_1_4">NA()</definedName>
    <definedName name="Excel_BuiltIn_Print_Area_6_1_6">NA()</definedName>
    <definedName name="Excel_BuiltIn_Print_Area_6_1_8">NA()</definedName>
    <definedName name="Excel_BuiltIn_Print_Area_6_1_9">NA()</definedName>
    <definedName name="Excel_BuiltIn_Print_Area_6_10">NA()</definedName>
    <definedName name="Excel_BuiltIn_Print_Area_6_11">NA()</definedName>
    <definedName name="Excel_BuiltIn_Print_Area_6_2">NA()</definedName>
    <definedName name="Excel_BuiltIn_Print_Area_6_3">NA()</definedName>
    <definedName name="Excel_BuiltIn_Print_Area_6_4">NA()</definedName>
    <definedName name="Excel_BuiltIn_Print_Area_6_6">NA()</definedName>
    <definedName name="Excel_BuiltIn_Print_Area_6_8">NA()</definedName>
    <definedName name="Excel_BuiltIn_Print_Area_6_9">NA()</definedName>
    <definedName name="Excel_BuiltIn_Print_Area_7">"$#REF!.$A$1:$Y$42"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"$#REF!.$A$1:$J$119"</definedName>
    <definedName name="Excel_BuiltIn_Print_Area_7_1_1_1_1_1">"$#REF!.$A$1:$H$119"</definedName>
    <definedName name="Excel_BuiltIn_Print_Area_7_1_1_1_1_1_1">NA()</definedName>
    <definedName name="Excel_BuiltIn_Print_Area_7_1_1_1_1_1_1_1">#REF!</definedName>
    <definedName name="Excel_BuiltIn_Print_Area_7_1_1_1_1_1_1_1_1">"$#REF!.$A$1:$IV$65525"</definedName>
    <definedName name="Excel_BuiltIn_Print_Area_7_1_1_1_1_1_1_1_1_1">"$#REF!.$A$1:$IV$65523"</definedName>
    <definedName name="Excel_BuiltIn_Print_Area_7_1_1_1_1_1_1_1_1_1_1">"$#REF!.$A$1:$IV$65521"</definedName>
    <definedName name="Excel_BuiltIn_Print_Area_7_1_1_1_1_1_1_1_1_1_1_1">"$#REF!.$A$1:$IV$65523"</definedName>
    <definedName name="Excel_BuiltIn_Print_Area_7_1_1_1_1_1_1_1_1_1_1_1_1">"$#REF!.$A$1:$IV$65521"</definedName>
    <definedName name="Excel_BuiltIn_Print_Area_7_1_1_1_1_1_1_1_1_1_1_1_1_1">NA()</definedName>
    <definedName name="Excel_BuiltIn_Print_Area_7_1_1_1_1_1_1_1_1_1_1_1_1_1_1">NA()</definedName>
    <definedName name="Excel_BuiltIn_Print_Area_7_1_1_1_1_1_1_1_1_1_1_1_1_1_1_1">"$#REF!.$A$1:$IV$65523"</definedName>
    <definedName name="Excel_BuiltIn_Print_Area_7_1_1_1_1_1_1_1_1_1_1_1_1_1_1_1_1">"$#REF!.$A$1:$IV$65523"</definedName>
    <definedName name="Excel_BuiltIn_Print_Area_7_1_1_1_1_1_1_1_1_1_1_1_1_1_1_1_1_1">"$#REF!.$A$1:$IV$65521"</definedName>
    <definedName name="Excel_BuiltIn_Print_Area_7_1_1_1_1_1_1_1_1_1_1_1_1_1_1_1_1_1_1">"$#REF!.$A$1:$IV$65521"</definedName>
    <definedName name="Excel_BuiltIn_Print_Area_7_1_1_1_1_1_1_1_10">"$#REF!.$A$1:$IV$65523"</definedName>
    <definedName name="Excel_BuiltIn_Print_Area_7_1_1_1_1_1_1_1_11">"$#REF!.$A$1:$IV$65523"</definedName>
    <definedName name="Excel_BuiltIn_Print_Area_7_1_1_1_1_1_1_1_2">"$#REF!.$A$1:$IV$65523"</definedName>
    <definedName name="Excel_BuiltIn_Print_Area_7_1_1_1_1_1_1_1_3">"$#REF!.$A$1:$IV$65523"</definedName>
    <definedName name="Excel_BuiltIn_Print_Area_7_1_1_1_1_1_1_1_4">"$#REF!.$A$1:$IV$65523"</definedName>
    <definedName name="Excel_BuiltIn_Print_Area_7_1_1_1_1_1_1_1_6">"$#REF!.$A$1:$IV$65523"</definedName>
    <definedName name="Excel_BuiltIn_Print_Area_7_1_1_1_1_1_1_1_8">"$#REF!.$A$1:$IV$65523"</definedName>
    <definedName name="Excel_BuiltIn_Print_Area_7_1_1_1_1_1_1_1_9">"$#REF!.$A$1:$IV$65523"</definedName>
    <definedName name="Excel_BuiltIn_Print_Area_7_1_1_1_1_1_1_2">"$#REF!.$A$1:$IV$65525"</definedName>
    <definedName name="Excel_BuiltIn_Print_Area_7_1_1_1_1_1_10">"$#REF!.$A$1:$IV$65521"</definedName>
    <definedName name="Excel_BuiltIn_Print_Area_7_1_1_1_1_1_11">"$#REF!.$A$1:$IV$65521"</definedName>
    <definedName name="Excel_BuiltIn_Print_Area_7_1_1_1_1_1_2">"$#REF!.$A$1:$IV$65521"</definedName>
    <definedName name="Excel_BuiltIn_Print_Area_7_1_1_1_1_1_3">"$#REF!.$A$1:$IV$65521"</definedName>
    <definedName name="Excel_BuiltIn_Print_Area_7_1_1_1_1_1_4">"$#REF!.$A$1:$IV$65521"</definedName>
    <definedName name="Excel_BuiltIn_Print_Area_7_1_1_1_1_1_6">"$#REF!.$A$1:$IV$65521"</definedName>
    <definedName name="Excel_BuiltIn_Print_Area_7_1_1_1_1_1_8">"$#REF!.$A$1:$IV$65521"</definedName>
    <definedName name="Excel_BuiltIn_Print_Area_7_1_1_1_1_1_9">"$#REF!.$A$1:$IV$65521"</definedName>
    <definedName name="Excel_BuiltIn_Print_Area_7_1_1_1_1_10">"$#REF!.$A$1:$IV$65523"</definedName>
    <definedName name="Excel_BuiltIn_Print_Area_7_1_1_1_1_11">"$#REF!.$A$1:$IV$65523"</definedName>
    <definedName name="Excel_BuiltIn_Print_Area_7_1_1_1_1_2">"$#REF!.$A$1:$IV$65523"</definedName>
    <definedName name="Excel_BuiltIn_Print_Area_7_1_1_1_1_2_1">NA()</definedName>
    <definedName name="Excel_BuiltIn_Print_Area_7_1_1_1_1_3">"$#REF!.$A$1:$IV$65523"</definedName>
    <definedName name="Excel_BuiltIn_Print_Area_7_1_1_1_1_4">"$#REF!.$A$1:$IV$65523"</definedName>
    <definedName name="Excel_BuiltIn_Print_Area_7_1_1_1_1_6">"$#REF!.$A$1:$IV$65523"</definedName>
    <definedName name="Excel_BuiltIn_Print_Area_7_1_1_1_1_8">"$#REF!.$A$1:$IV$65523"</definedName>
    <definedName name="Excel_BuiltIn_Print_Area_7_1_1_1_1_9">"$#REF!.$A$1:$IV$65523"</definedName>
    <definedName name="Excel_BuiltIn_Print_Area_7_1_1_1_10">NA()</definedName>
    <definedName name="Excel_BuiltIn_Print_Area_7_1_1_1_10_1">"$#REF!.$A$1:$IV$65525"</definedName>
    <definedName name="Excel_BuiltIn_Print_Area_7_1_1_1_11">NA()</definedName>
    <definedName name="Excel_BuiltIn_Print_Area_7_1_1_1_11_1">"$#REF!.$A$1:$IV$65525"</definedName>
    <definedName name="Excel_BuiltIn_Print_Area_7_1_1_1_2">"$#REF!.$A$1:$IV$65523"</definedName>
    <definedName name="Excel_BuiltIn_Print_Area_7_1_1_1_2_1">NA()</definedName>
    <definedName name="Excel_BuiltIn_Print_Area_7_1_1_1_3">"$#REF!.$A$1:$IV$65523"</definedName>
    <definedName name="Excel_BuiltIn_Print_Area_7_1_1_1_4">"$#REF!.$A$1:$IV$65523"</definedName>
    <definedName name="Excel_BuiltIn_Print_Area_7_1_1_1_6">"$#REF!.$A$1:$IV$65523"</definedName>
    <definedName name="Excel_BuiltIn_Print_Area_7_1_1_1_8">"$#REF!.$A$1:$IV$65523"</definedName>
    <definedName name="Excel_BuiltIn_Print_Area_7_1_1_1_9">NA()</definedName>
    <definedName name="Excel_BuiltIn_Print_Area_7_1_1_1_9_1">"$#REF!.$A$1:$IV$65525"</definedName>
    <definedName name="Excel_BuiltIn_Print_Area_7_1_1_10">NA()</definedName>
    <definedName name="Excel_BuiltIn_Print_Area_7_1_1_11">NA()</definedName>
    <definedName name="Excel_BuiltIn_Print_Area_7_1_1_2">NA()</definedName>
    <definedName name="Excel_BuiltIn_Print_Area_7_1_1_3">NA()</definedName>
    <definedName name="Excel_BuiltIn_Print_Area_7_1_1_4">NA()</definedName>
    <definedName name="Excel_BuiltIn_Print_Area_7_1_1_6">NA()</definedName>
    <definedName name="Excel_BuiltIn_Print_Area_7_1_1_8">NA()</definedName>
    <definedName name="Excel_BuiltIn_Print_Area_7_1_1_9">NA()</definedName>
    <definedName name="Excel_BuiltIn_Print_Area_7_1_10">NA()</definedName>
    <definedName name="Excel_BuiltIn_Print_Area_7_1_11">NA()</definedName>
    <definedName name="Excel_BuiltIn_Print_Area_7_1_2">NA()</definedName>
    <definedName name="Excel_BuiltIn_Print_Area_7_1_3">NA()</definedName>
    <definedName name="Excel_BuiltIn_Print_Area_7_1_4">NA()</definedName>
    <definedName name="Excel_BuiltIn_Print_Area_7_1_6">NA()</definedName>
    <definedName name="Excel_BuiltIn_Print_Area_7_1_8">NA()</definedName>
    <definedName name="Excel_BuiltIn_Print_Area_7_1_9">NA()</definedName>
    <definedName name="Excel_BuiltIn_Print_Area_7_10">NA()</definedName>
    <definedName name="Excel_BuiltIn_Print_Area_7_11">NA()</definedName>
    <definedName name="Excel_BuiltIn_Print_Area_7_2">NA()</definedName>
    <definedName name="Excel_BuiltIn_Print_Area_7_3">NA()</definedName>
    <definedName name="Excel_BuiltIn_Print_Area_7_4">NA()</definedName>
    <definedName name="Excel_BuiltIn_Print_Area_7_6">NA()</definedName>
    <definedName name="Excel_BuiltIn_Print_Area_7_8">NA()</definedName>
    <definedName name="Excel_BuiltIn_Print_Area_7_9">NA()</definedName>
    <definedName name="Excel_BuiltIn_Print_Area_8">NA()</definedName>
    <definedName name="Excel_BuiltIn_Print_Area_8_1">#REF!</definedName>
    <definedName name="Excel_BuiltIn_Print_Area_8_1_1">"$#REF!.$A$1:$J$119"</definedName>
    <definedName name="Excel_BuiltIn_Print_Area_8_1_1_1">NA()</definedName>
    <definedName name="Excel_BuiltIn_Print_Area_8_1_1_1_1">NA()</definedName>
    <definedName name="Excel_BuiltIn_Print_Area_8_1_1_1_1_1">NA()</definedName>
    <definedName name="Excel_BuiltIn_Print_Area_8_1_1_1_1_1_1">NA()</definedName>
    <definedName name="Excel_BuiltIn_Print_Area_8_1_1_1_1_1_1_1">NA()</definedName>
    <definedName name="Excel_BuiltIn_Print_Area_8_1_1_1_1_1_1_1_1">NA()</definedName>
    <definedName name="Excel_BuiltIn_Print_Area_8_1_1_1_1_1_1_1_1_1">NA()</definedName>
    <definedName name="Excel_BuiltIn_Print_Area_8_1_5">#REF!</definedName>
    <definedName name="Excel_BuiltIn_Print_Area_8_10">NA()</definedName>
    <definedName name="Excel_BuiltIn_Print_Area_8_11">NA()</definedName>
    <definedName name="Excel_BuiltIn_Print_Area_8_2">NA()</definedName>
    <definedName name="Excel_BuiltIn_Print_Area_8_3">NA()</definedName>
    <definedName name="Excel_BuiltIn_Print_Area_8_4">NA()</definedName>
    <definedName name="Excel_BuiltIn_Print_Area_8_6">NA()</definedName>
    <definedName name="Excel_BuiltIn_Print_Area_8_8">NA()</definedName>
    <definedName name="Excel_BuiltIn_Print_Area_8_9">NA()</definedName>
    <definedName name="Excel_BuiltIn_Print_Area_9">NA()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NA()</definedName>
    <definedName name="Excel_BuiltIn_Print_Area_9_1_1_1_1_1">NA()</definedName>
    <definedName name="Excel_BuiltIn_Print_Area_9_1_1_10">NA()</definedName>
    <definedName name="Excel_BuiltIn_Print_Area_9_1_1_11">NA()</definedName>
    <definedName name="Excel_BuiltIn_Print_Area_9_1_1_2">NA()</definedName>
    <definedName name="Excel_BuiltIn_Print_Area_9_1_1_3">NA()</definedName>
    <definedName name="Excel_BuiltIn_Print_Area_9_1_1_4">NA()</definedName>
    <definedName name="Excel_BuiltIn_Print_Area_9_1_1_6">NA()</definedName>
    <definedName name="Excel_BuiltIn_Print_Area_9_1_1_8">NA()</definedName>
    <definedName name="Excel_BuiltIn_Print_Area_9_1_1_9">NA()</definedName>
    <definedName name="Excel_BuiltIn_Print_Area_9_1_10">NA()</definedName>
    <definedName name="Excel_BuiltIn_Print_Area_9_1_11">NA()</definedName>
    <definedName name="Excel_BuiltIn_Print_Area_9_1_2">NA()</definedName>
    <definedName name="Excel_BuiltIn_Print_Area_9_1_3">NA()</definedName>
    <definedName name="Excel_BuiltIn_Print_Area_9_1_4">NA()</definedName>
    <definedName name="Excel_BuiltIn_Print_Area_9_1_6">NA()</definedName>
    <definedName name="Excel_BuiltIn_Print_Area_9_1_8">NA()</definedName>
    <definedName name="Excel_BuiltIn_Print_Area_9_1_9">NA()</definedName>
    <definedName name="Excel_BuiltIn_Print_Area_9_8">#REF!</definedName>
    <definedName name="Excel_BuiltIn_Print_Titles">#REF!</definedName>
    <definedName name="Excel_BuiltIn_Print_Titles_0">#N/A</definedName>
    <definedName name="Excel_BuiltIn_Print_Titles_0___0">NA()</definedName>
    <definedName name="Excel_BuiltIn_Print_Titles_0___0_8">NA()</definedName>
    <definedName name="Excel_BuiltIn_Print_Titles_0_8">NA()</definedName>
    <definedName name="Excel_BuiltIn_Print_Titles_1">"$#REF!.$A$1:$IT$6"</definedName>
    <definedName name="Excel_BuiltIn_Print_Titles_1_1">#REF!</definedName>
    <definedName name="Excel_BuiltIn_Print_Titles_1_1_1">#REF!</definedName>
    <definedName name="Excel_BuiltIn_Print_Titles_1_1_1_1">"$#REF!.$A$1:$IE$21"</definedName>
    <definedName name="Excel_BuiltIn_Print_Titles_1_1_1_1_1">"$#REF!.$A$2:$IV$5"</definedName>
    <definedName name="Excel_BuiltIn_Print_Titles_1_1_3">#REF!</definedName>
    <definedName name="Excel_BuiltIn_Print_Titles_1_2">#REF!</definedName>
    <definedName name="Excel_BuiltIn_Print_Titles_10">#REF!</definedName>
    <definedName name="Excel_BuiltIn_Print_Titles_10_1">#REF!</definedName>
    <definedName name="Excel_BuiltIn_Print_Titles_10_1_1">(#REF!,#REF!)</definedName>
    <definedName name="Excel_BuiltIn_Print_Titles_10_1_1_1">"$#REF!.$A$1:$HA$10"</definedName>
    <definedName name="Excel_BuiltIn_Print_Titles_10_1_1_1_1">#REF!</definedName>
    <definedName name="Excel_BuiltIn_Print_Titles_10_1_1_1_1_1">#REF!</definedName>
    <definedName name="Excel_BuiltIn_Print_Titles_10_1_1_1_1_1_1">#REF!</definedName>
    <definedName name="Excel_BuiltIn_Print_Titles_10_1_1_1_1_1_1_1">#REF!</definedName>
    <definedName name="Excel_BuiltIn_Print_Titles_10_1_1_1_1_1_1_1_1">#REF!</definedName>
    <definedName name="Excel_BuiltIn_Print_Titles_10_1_1_1_1_1_1_1_1_1">#REF!</definedName>
    <definedName name="Excel_BuiltIn_Print_Titles_10_1_1_1_1_1_1_1_1_1_1">#REF!</definedName>
    <definedName name="Excel_BuiltIn_Print_Titles_10_1_10">#REF!</definedName>
    <definedName name="Excel_BuiltIn_Print_Titles_10_1_4">#REF!</definedName>
    <definedName name="Excel_BuiltIn_Print_Titles_10_1_6">#REF!</definedName>
    <definedName name="Excel_BuiltIn_Print_Titles_10_1_8">#REF!</definedName>
    <definedName name="Excel_BuiltIn_Print_Titles_10_2">NA()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1">#REF!</definedName>
    <definedName name="Excel_BuiltIn_Print_Titles_11_1_1_1_1">"$#REF!.$A$1:$IT$11"</definedName>
    <definedName name="Excel_BuiltIn_Print_Titles_11_1_5">#REF!</definedName>
    <definedName name="Excel_BuiltIn_Print_Titles_11_10">NA()</definedName>
    <definedName name="Excel_BuiltIn_Print_Titles_11_11">NA()</definedName>
    <definedName name="Excel_BuiltIn_Print_Titles_11_4">#REF!</definedName>
    <definedName name="Excel_BuiltIn_Print_Titles_11_6">#REF!</definedName>
    <definedName name="Excel_BuiltIn_Print_Titles_11_8">#REF!</definedName>
    <definedName name="Excel_BuiltIn_Print_Titles_11_9">NA()</definedName>
    <definedName name="Excel_BuiltIn_Print_Titles_12">#REF!</definedName>
    <definedName name="Excel_BuiltIn_Print_Titles_12_1">(#REF!,#REF!)</definedName>
    <definedName name="Excel_BuiltIn_Print_Titles_12_1_1">#REF!</definedName>
    <definedName name="Excel_BuiltIn_Print_Titles_12_1_1_1">#REF!</definedName>
    <definedName name="Excel_BuiltIn_Print_Titles_12_1_10">#REF!</definedName>
    <definedName name="Excel_BuiltIn_Print_Titles_12_1_4">#REF!</definedName>
    <definedName name="Excel_BuiltIn_Print_Titles_12_1_6">#REF!</definedName>
    <definedName name="Excel_BuiltIn_Print_Titles_12_1_8">#REF!</definedName>
    <definedName name="Excel_BuiltIn_Print_Titles_13">#REF!</definedName>
    <definedName name="Excel_BuiltIn_Print_Titles_13_1">#REF!</definedName>
    <definedName name="Excel_BuiltIn_Print_Titles_13_1_5">#REF!</definedName>
    <definedName name="Excel_BuiltIn_Print_Titles_14">#REF!</definedName>
    <definedName name="Excel_BuiltIn_Print_Titles_14_1">"$#REF!.$A$1:$HA$11"</definedName>
    <definedName name="Excel_BuiltIn_Print_Titles_14_1_10">#REF!</definedName>
    <definedName name="Excel_BuiltIn_Print_Titles_14_1_4">#REF!</definedName>
    <definedName name="Excel_BuiltIn_Print_Titles_14_1_6">#REF!</definedName>
    <definedName name="Excel_BuiltIn_Print_Titles_14_1_8">#REF!</definedName>
    <definedName name="Excel_BuiltIn_Print_Titles_15">#REF!</definedName>
    <definedName name="Excel_BuiltIn_Print_Titles_15_1">#REF!</definedName>
    <definedName name="Excel_BuiltIn_Print_Titles_15_1_10">#REF!</definedName>
    <definedName name="Excel_BuiltIn_Print_Titles_15_1_4">#REF!</definedName>
    <definedName name="Excel_BuiltIn_Print_Titles_15_1_6">#REF!</definedName>
    <definedName name="Excel_BuiltIn_Print_Titles_15_1_8">#REF!</definedName>
    <definedName name="Excel_BuiltIn_Print_Titles_16">#REF!</definedName>
    <definedName name="Excel_BuiltIn_Print_Titles_16_1">#REF!</definedName>
    <definedName name="Excel_BuiltIn_Print_Titles_17">#REF!</definedName>
    <definedName name="Excel_BuiltIn_Print_Titles_17_1">#REF!</definedName>
    <definedName name="Excel_BuiltIn_Print_Titles_17_1_1">#REF!</definedName>
    <definedName name="Excel_BuiltIn_Print_Titles_18">#REF!</definedName>
    <definedName name="Excel_BuiltIn_Print_Titles_18_1">#REF!</definedName>
    <definedName name="Excel_BuiltIn_Print_Titles_18_1_1">#REF!</definedName>
    <definedName name="Excel_BuiltIn_Print_Titles_19">#REF!</definedName>
    <definedName name="Excel_BuiltIn_Print_Titles_19_1">#REF!</definedName>
    <definedName name="Excel_BuiltIn_Print_Titles_2">#REF!</definedName>
    <definedName name="Excel_BuiltIn_Print_Titles_2_1">#REF!</definedName>
    <definedName name="Excel_BuiltIn_Print_Titles_2_1_1">"$#REF!.$A$1:$IA$11"</definedName>
    <definedName name="Excel_BuiltIn_Print_Titles_2_1_1_1">"$#REF!.$A$1:$HK$12"</definedName>
    <definedName name="Excel_BuiltIn_Print_Titles_2_1_1_1_1">"$#REF!.$A$1:$HA$11"</definedName>
    <definedName name="Excel_BuiltIn_Print_Titles_2_1_1_1_1_1">"$#REF!.$A$1:$IA$12"</definedName>
    <definedName name="Excel_BuiltIn_Print_Titles_2_1_1_1_1_1_1">"$#REF!.$A$1:$IA$18"</definedName>
    <definedName name="Excel_BuiltIn_Print_Titles_2_1_10">NA()</definedName>
    <definedName name="Excel_BuiltIn_Print_Titles_2_1_11">NA()</definedName>
    <definedName name="Excel_BuiltIn_Print_Titles_2_1_9">NA()</definedName>
    <definedName name="Excel_BuiltIn_Print_Titles_20">#REF!</definedName>
    <definedName name="Excel_BuiltIn_Print_Titles_20_1">#REF!</definedName>
    <definedName name="Excel_BuiltIn_Print_Titles_21">#REF!</definedName>
    <definedName name="Excel_BuiltIn_Print_Titles_21_1">#REF!</definedName>
    <definedName name="Excel_BuiltIn_Print_Titles_22_1">#REF!</definedName>
    <definedName name="Excel_BuiltIn_Print_Titles_22_1_1">#REF!</definedName>
    <definedName name="Excel_BuiltIn_Print_Titles_23_1">#REF!</definedName>
    <definedName name="Excel_BuiltIn_Print_Titles_23_1_1">#REF!</definedName>
    <definedName name="Excel_BuiltIn_Print_Titles_24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26">#REF!</definedName>
    <definedName name="Excel_BuiltIn_Print_Titles_26_1">#REF!</definedName>
    <definedName name="Excel_BuiltIn_Print_Titles_27_1">#REF!</definedName>
    <definedName name="Excel_BuiltIn_Print_Titles_28">#REF!</definedName>
    <definedName name="Excel_BuiltIn_Print_Titles_3">"$#REF!.$A$1:$AMJ$9"</definedName>
    <definedName name="Excel_BuiltIn_Print_Titles_3_1">(#REF!,#REF!)</definedName>
    <definedName name="Excel_BuiltIn_Print_Titles_3_1_1">(#REF!,#REF!)</definedName>
    <definedName name="Excel_BuiltIn_Print_Titles_3_1_1_1">(#REF!,#REF!)</definedName>
    <definedName name="Excel_BuiltIn_Print_Titles_3_1_10">NA()</definedName>
    <definedName name="Excel_BuiltIn_Print_Titles_3_1_11">NA()</definedName>
    <definedName name="Excel_BuiltIn_Print_Titles_3_1_12">#REF!</definedName>
    <definedName name="Excel_BuiltIn_Print_Titles_3_1_13">#REF!</definedName>
    <definedName name="Excel_BuiltIn_Print_Titles_3_1_2">#REF!</definedName>
    <definedName name="Excel_BuiltIn_Print_Titles_3_1_3">#REF!</definedName>
    <definedName name="Excel_BuiltIn_Print_Titles_3_1_4">#REF!</definedName>
    <definedName name="Excel_BuiltIn_Print_Titles_3_1_5">#REF!</definedName>
    <definedName name="Excel_BuiltIn_Print_Titles_3_1_6">#REF!</definedName>
    <definedName name="Excel_BuiltIn_Print_Titles_3_1_7">#REF!</definedName>
    <definedName name="Excel_BuiltIn_Print_Titles_3_1_8">#REF!</definedName>
    <definedName name="Excel_BuiltIn_Print_Titles_3_1_9">NA()</definedName>
    <definedName name="Excel_BuiltIn_Print_Titles_3_3">#REF!</definedName>
    <definedName name="Excel_BuiltIn_Print_Titles_30">#REF!</definedName>
    <definedName name="Excel_BuiltIn_Print_Titles_32">#REF!</definedName>
    <definedName name="Excel_BuiltIn_Print_Titles_33">#REF!</definedName>
    <definedName name="Excel_BuiltIn_Print_Titles_34">#REF!</definedName>
    <definedName name="Excel_BuiltIn_Print_Titles_35">#REF!</definedName>
    <definedName name="Excel_BuiltIn_Print_Titles_4">"#REF!"</definedName>
    <definedName name="Excel_BuiltIn_Print_Titles_4_1">(#REF!,#REF!)</definedName>
    <definedName name="Excel_BuiltIn_Print_Titles_4_1_1">(#REF!,#REF!)</definedName>
    <definedName name="Excel_BuiltIn_Print_Titles_4_1_1_1">#REF!</definedName>
    <definedName name="Excel_BuiltIn_Print_Titles_4_1_1_1_1">"$#REF!.$A$1:$B$11"</definedName>
    <definedName name="Excel_BuiltIn_Print_Titles_4_1_1_1_1_1">#REF!</definedName>
    <definedName name="Excel_BuiltIn_Print_Titles_4_1_1_1_1_1_1">NA()</definedName>
    <definedName name="Excel_BuiltIn_Print_Titles_4_1_1_1_1_1_1_1">#REF!</definedName>
    <definedName name="Excel_BuiltIn_Print_Titles_4_1_1_1_1_1_1_1_1">NA()</definedName>
    <definedName name="Excel_BuiltIn_Print_Titles_4_1_1_1_1_1_1_1_1_1">#REF!</definedName>
    <definedName name="Excel_BuiltIn_Print_Titles_4_1_1_1_1_1_1_1_1_1_1">#REF!</definedName>
    <definedName name="Excel_BuiltIn_Print_Titles_4_2">#REF!</definedName>
    <definedName name="Excel_BuiltIn_Print_Titles_4_3">#REF!</definedName>
    <definedName name="Excel_BuiltIn_Print_Titles_44_1">#REF!</definedName>
    <definedName name="Excel_BuiltIn_Print_Titles_45_1">#REF!</definedName>
    <definedName name="Excel_BuiltIn_Print_Titles_5">"$#REF!.$A$1:$IV$11"</definedName>
    <definedName name="Excel_BuiltIn_Print_Titles_5_1">#REF!</definedName>
    <definedName name="Excel_BuiltIn_Print_Titles_5_1_1">"$#REF!.$A$1:$HA$10"</definedName>
    <definedName name="Excel_BuiltIn_Print_Titles_5_1_1_1">"$#REF!.$A$1:$HA$11"</definedName>
    <definedName name="Excel_BuiltIn_Print_Titles_5_1_1_1_1">NA()</definedName>
    <definedName name="Excel_BuiltIn_Print_Titles_5_1_10">#REF!</definedName>
    <definedName name="Excel_BuiltIn_Print_Titles_5_1_11">#REF!</definedName>
    <definedName name="Excel_BuiltIn_Print_Titles_5_1_12">#REF!</definedName>
    <definedName name="Excel_BuiltIn_Print_Titles_5_1_2">#REF!</definedName>
    <definedName name="Excel_BuiltIn_Print_Titles_5_1_3">#REF!</definedName>
    <definedName name="Excel_BuiltIn_Print_Titles_5_1_4">#REF!</definedName>
    <definedName name="Excel_BuiltIn_Print_Titles_5_1_5">#REF!</definedName>
    <definedName name="Excel_BuiltIn_Print_Titles_5_1_6">#REF!</definedName>
    <definedName name="Excel_BuiltIn_Print_Titles_5_1_7">#REF!</definedName>
    <definedName name="Excel_BuiltIn_Print_Titles_5_1_8">#REF!</definedName>
    <definedName name="Excel_BuiltIn_Print_Titles_5_1_9">#REF!</definedName>
    <definedName name="Excel_BuiltIn_Print_Titles_6">#REF!</definedName>
    <definedName name="Excel_BuiltIn_Print_Titles_6_1">(#REF!,#REF!)</definedName>
    <definedName name="Excel_BuiltIn_Print_Titles_6_1_1">"$#REF!.$A$1:$HA$11"</definedName>
    <definedName name="Excel_BuiltIn_Print_Titles_6_1_1_1">#REF!</definedName>
    <definedName name="Excel_BuiltIn_Print_Titles_6_1_1_1_1">#REF!</definedName>
    <definedName name="Excel_BuiltIn_Print_Titles_6_1_1_1_1_1">#REF!</definedName>
    <definedName name="Excel_BuiltIn_Print_Titles_6_1_1_1_1_1_1">#REF!</definedName>
    <definedName name="Excel_BuiltIn_Print_Titles_6_1_1_1_1_1_1_1">#REF!</definedName>
    <definedName name="Excel_BuiltIn_Print_Titles_6_1_10">#REF!</definedName>
    <definedName name="Excel_BuiltIn_Print_Titles_6_1_4">#REF!</definedName>
    <definedName name="Excel_BuiltIn_Print_Titles_6_1_6">#REF!</definedName>
    <definedName name="Excel_BuiltIn_Print_Titles_6_1_8">#REF!</definedName>
    <definedName name="Excel_BuiltIn_Print_Titles_6_2">#REF!</definedName>
    <definedName name="Excel_BuiltIn_Print_Titles_7">"$#REF!.$A$1:$IV$9"</definedName>
    <definedName name="Excel_BuiltIn_Print_Titles_7_1">#REF!</definedName>
    <definedName name="Excel_BuiltIn_Print_Titles_7_1_1">"$#REF!.$A$1:$HA$10"</definedName>
    <definedName name="Excel_BuiltIn_Print_Titles_7_1_1_1">"$#REF!.$A$1:$H$11"</definedName>
    <definedName name="Excel_BuiltIn_Print_Titles_7_1_1_1_1">#REF!</definedName>
    <definedName name="Excel_BuiltIn_Print_Titles_7_1_1_1_1_1">#REF!</definedName>
    <definedName name="Excel_BuiltIn_Print_Titles_7_1_1_1_1_1_1">#REF!</definedName>
    <definedName name="Excel_BuiltIn_Print_Titles_7_1_1_1_1_1_1_1">NA()</definedName>
    <definedName name="Excel_BuiltIn_Print_Titles_7_1_10">NA()</definedName>
    <definedName name="Excel_BuiltIn_Print_Titles_7_1_11">NA()</definedName>
    <definedName name="Excel_BuiltIn_Print_Titles_7_1_2">NA()</definedName>
    <definedName name="Excel_BuiltIn_Print_Titles_7_1_3">NA()</definedName>
    <definedName name="Excel_BuiltIn_Print_Titles_7_1_4">NA()</definedName>
    <definedName name="Excel_BuiltIn_Print_Titles_7_1_6">NA()</definedName>
    <definedName name="Excel_BuiltIn_Print_Titles_7_1_8">NA()</definedName>
    <definedName name="Excel_BuiltIn_Print_Titles_7_1_9">NA()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1_1">"$#REF!.$A$1:$HA$10"</definedName>
    <definedName name="Excel_BuiltIn_Print_Titles_8_1_1_1_1">NA()</definedName>
    <definedName name="Excel_BuiltIn_Print_Titles_8_1_1_1_1_1">"$#REF!.$A$1:$IA$18"</definedName>
    <definedName name="Excel_BuiltIn_Print_Titles_8_1_1_1_1_1_1">"$#REF!.$A$1:$IA$11"</definedName>
    <definedName name="Excel_BuiltIn_Print_Titles_8_1_1_1_1_1_1_1">"$#REF!.$A$1:$IA$18"</definedName>
    <definedName name="Excel_BuiltIn_Print_Titles_8_1_1_10">"$#REF!.$A$1:$IA$11"</definedName>
    <definedName name="Excel_BuiltIn_Print_Titles_8_1_1_11">"$#REF!.$A$1:$IA$11"</definedName>
    <definedName name="Excel_BuiltIn_Print_Titles_8_1_1_2">"$#REF!.$A$1:$IA$18"</definedName>
    <definedName name="Excel_BuiltIn_Print_Titles_8_1_1_3">"$#REF!.$A$1:$IA$18"</definedName>
    <definedName name="Excel_BuiltIn_Print_Titles_8_1_1_4">"$#REF!.$A$1:$IA$18"</definedName>
    <definedName name="Excel_BuiltIn_Print_Titles_8_1_1_6">"$#REF!.$A$1:$IA$18"</definedName>
    <definedName name="Excel_BuiltIn_Print_Titles_8_1_1_8">"$#REF!.$A$1:$IA$18"</definedName>
    <definedName name="Excel_BuiltIn_Print_Titles_8_1_1_9">"$#REF!.$A$1:$IA$11"</definedName>
    <definedName name="Excel_BuiltIn_Print_Titles_8_1_10">NA()</definedName>
    <definedName name="Excel_BuiltIn_Print_Titles_8_1_11">NA()</definedName>
    <definedName name="Excel_BuiltIn_Print_Titles_8_1_2">"$#REF!.$A$1:$IA$11"</definedName>
    <definedName name="Excel_BuiltIn_Print_Titles_8_1_3">"$#REF!.$A$1:$IA$11"</definedName>
    <definedName name="Excel_BuiltIn_Print_Titles_8_1_4">"$#REF!.$A$1:$IA$11"</definedName>
    <definedName name="Excel_BuiltIn_Print_Titles_8_1_6">"$#REF!.$A$1:$IA$11"</definedName>
    <definedName name="Excel_BuiltIn_Print_Titles_8_1_8">#REF!</definedName>
    <definedName name="Excel_BuiltIn_Print_Titles_8_1_8_1">"$#REF!.$A$1:$IA$11"</definedName>
    <definedName name="Excel_BuiltIn_Print_Titles_8_1_9">NA()</definedName>
    <definedName name="Excel_BuiltIn_Print_Titles_9">#REF!</definedName>
    <definedName name="Excel_BuiltIn_Print_Titles_9_1">#REF!</definedName>
    <definedName name="Excel_BuiltIn_Print_Titles_9_1_1">#REF!</definedName>
    <definedName name="Excel_BuiltIn_Print_Titles_9_1_1_1">#REF!</definedName>
    <definedName name="Excel_BuiltIn_Print_Titles_9_1_1_1_1">NA()</definedName>
    <definedName name="Excel_BuiltIn_Print_Titles_9_10">#REF!</definedName>
    <definedName name="Excel_BuiltIn_Print_Titles_9_4">#REF!</definedName>
    <definedName name="Excel_BuiltIn_Print_Titles_9_6">#REF!</definedName>
    <definedName name="Excel_BuiltIn_Print_Titles_9_8">#REF!</definedName>
    <definedName name="EXT_LAB">#REF!</definedName>
    <definedName name="EXT_MAT">#REF!</definedName>
    <definedName name="external" hidden="1">{#N/A,#N/A,TRUE,"SUM";#N/A,#N/A,TRUE,"EE";#N/A,#N/A,TRUE,"AC";#N/A,#N/A,TRUE,"SN"}</definedName>
    <definedName name="Extra_Pay">#REF!</definedName>
    <definedName name="Extra_Pay_8">#REF!</definedName>
    <definedName name="_xlnm.Extract">#REF!</definedName>
    <definedName name="eytersy" hidden="1">{#N/A,#N/A,TRUE,"SUM";#N/A,#N/A,TRUE,"EE";#N/A,#N/A,TRUE,"AC";#N/A,#N/A,TRUE,"SN"}</definedName>
    <definedName name="eyteyt" hidden="1">{#N/A,#N/A,FALSE,"CCTV"}</definedName>
    <definedName name="f">#REF!</definedName>
    <definedName name="f___0">#REF!</definedName>
    <definedName name="F_CF">#REF!</definedName>
    <definedName name="F_CLF">#REF!</definedName>
    <definedName name="f_d" hidden="1">{"'SUMMATION'!$B$2:$I$2"}</definedName>
    <definedName name="F_MINI">#REF!</definedName>
    <definedName name="F_PFW">#REF!</definedName>
    <definedName name="F_S">#REF!</definedName>
    <definedName name="F_SL">[0]!FST:([0]!FSB)</definedName>
    <definedName name="fa">#REF!</definedName>
    <definedName name="FA_">#REF!</definedName>
    <definedName name="FACTOR">#REF!</definedName>
    <definedName name="FACTORY" hidden="1">{#N/A,#N/A,TRUE,"SUM";#N/A,#N/A,TRUE,"EE";#N/A,#N/A,TRUE,"AC";#N/A,#N/A,TRUE,"SN"}</definedName>
    <definedName name="Factory1" hidden="1">{#N/A,#N/A,TRUE,"SUM";#N/A,#N/A,TRUE,"EE";#N/A,#N/A,TRUE,"AC";#N/A,#N/A,TRUE,"SN"}</definedName>
    <definedName name="fads" hidden="1">{#N/A,#N/A,TRUE,"SUM";#N/A,#N/A,TRUE,"EE";#N/A,#N/A,TRUE,"AC";#N/A,#N/A,TRUE,"SN"}</definedName>
    <definedName name="FB_">#REF!</definedName>
    <definedName name="FBRIDGE">#REF!</definedName>
    <definedName name="FBUILD">#REF!</definedName>
    <definedName name="FBX">#REF!</definedName>
    <definedName name="FBY">#REF!</definedName>
    <definedName name="fc">#REF!</definedName>
    <definedName name="FC_">#REF!</definedName>
    <definedName name="fd" hidden="1">{"'Sheet1'!$L$16"}</definedName>
    <definedName name="fddfhdfhdgh" hidden="1">{#N/A,#N/A,FALSE,"CCTV"}</definedName>
    <definedName name="fddh" hidden="1">{#N/A,#N/A,FALSE,"Field Rates";#N/A,#N/A,FALSE,"Field Sum"}</definedName>
    <definedName name="fdf" hidden="1">{"conso",#N/A,FALSE,"cash flow"}</definedName>
    <definedName name="FDFDF" hidden="1">{#N/A,#N/A,FALSE,"CCTV"}</definedName>
    <definedName name="FDFDSF" hidden="1">{#N/A,#N/A,TRUE,"SUM";#N/A,#N/A,TRUE,"EE";#N/A,#N/A,TRUE,"AC";#N/A,#N/A,TRUE,"SN"}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g">#REF!</definedName>
    <definedName name="fdgk" hidden="1">{"'Sheet1'!$L$16"}</definedName>
    <definedName name="fdsfdv" hidden="1">{#N/A,#N/A,TRUE,"Str.";#N/A,#N/A,TRUE,"Steel &amp; Roof";#N/A,#N/A,TRUE,"Arc.";#N/A,#N/A,TRUE,"Preliminary";#N/A,#N/A,TRUE,"Sum_Prelim"}</definedName>
    <definedName name="fe" hidden="1">{"'Sheet1'!$L$16"}</definedName>
    <definedName name="FEE" hidden="1">#REF!</definedName>
    <definedName name="FF" hidden="1">{#N/A,#N/A,TRUE,"SUM";#N/A,#N/A,TRUE,"EE";#N/A,#N/A,TRUE,"AC";#N/A,#N/A,TRUE,"SN"}</definedName>
    <definedName name="ffd">#REF!</definedName>
    <definedName name="fff">#REF!</definedName>
    <definedName name="fffd">#REF!</definedName>
    <definedName name="ffff" hidden="1">#REF!</definedName>
    <definedName name="ffffd" hidden="1">{#N/A,#N/A,TRUE,"SUM";#N/A,#N/A,TRUE,"EE";#N/A,#N/A,TRUE,"AC";#N/A,#N/A,TRUE,"SN"}</definedName>
    <definedName name="fffff" hidden="1">{#N/A,#N/A,TRUE,"SUM";#N/A,#N/A,TRUE,"EE";#N/A,#N/A,TRUE,"AC";#N/A,#N/A,TRUE,"SN"}</definedName>
    <definedName name="ffffff" hidden="1">{#N/A,#N/A,FALSE,"CCTV"}</definedName>
    <definedName name="ffffffffff">#REF!</definedName>
    <definedName name="ffg">#REF!</definedName>
    <definedName name="ffwfwef">#REF!</definedName>
    <definedName name="fg" hidden="1">{#N/A,#N/A,TRUE,"Str.";#N/A,#N/A,TRUE,"Steel &amp; Roof";#N/A,#N/A,TRUE,"Arc.";#N/A,#N/A,TRUE,"Preliminary";#N/A,#N/A,TRUE,"Sum_Prelim"}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hidden="1">{#N/A,#N/A,FALSE,"CCTV"}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f" hidden="1">{#N/A,#N/A,TRUE,"SUM";#N/A,#N/A,TRUE,"EE";#N/A,#N/A,TRUE,"AC";#N/A,#N/A,TRUE,"SN"}</definedName>
    <definedName name="fggh" hidden="1">{#N/A,#N/A,FALSE,"Cont Doc_LSV (4)";#N/A,#N/A,FALSE,"Cont Doc_LSV (5)";#N/A,#N/A,FALSE,"Cont Doc_LSV (6)"}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gjfghfghgf" hidden="1">{#N/A,#N/A,FALSE,"CCTV"}</definedName>
    <definedName name="fil" hidden="1">#REF!</definedName>
    <definedName name="fill" hidden="1">#REF!</definedName>
    <definedName name="Finish">#REF!</definedName>
    <definedName name="finishing" hidden="1">{#N/A,#N/A,FALSE,"HO Sum";#N/A,#N/A,FALSE,"HO Rates";#N/A,#N/A,FALSE,"Co Sum";#N/A,#N/A,FALSE,"Clients Office";#N/A,#N/A,FALSE,"Field Sum";#N/A,#N/A,FALSE,"Field Rates"}</definedName>
    <definedName name="FIRE" hidden="1">{#N/A,#N/A,TRUE,"SUM";#N/A,#N/A,TRUE,"EE";#N/A,#N/A,TRUE,"AC";#N/A,#N/A,TRUE,"SN"}</definedName>
    <definedName name="firealarm">NA()</definedName>
    <definedName name="fireprotection" hidden="1">#REF!</definedName>
    <definedName name="FIT">#REF!</definedName>
    <definedName name="FITFS">#REF!</definedName>
    <definedName name="FITT">#REF!</definedName>
    <definedName name="fjavk.s">#REF!</definedName>
    <definedName name="flflsjk" hidden="1">{"SUM",#N/A,FALSE,"summary";"BOOK11-1",#N/A,FALSE,"1CityGarden";"BOOK11-2",#N/A,FALSE,"2CountryGarden";"BOOK11-3",#N/A,FALSE,"3JUNGLE";"BOOK11-4CIVIL",#N/A,FALSE,"CIVIL"}</definedName>
    <definedName name="footing">#REF!</definedName>
    <definedName name="Formula">#REF!</definedName>
    <definedName name="FP_Lab">#REF!</definedName>
    <definedName name="FP_Mat">#REF!</definedName>
    <definedName name="FR">#REF!</definedName>
    <definedName name="FROAD">#REF!</definedName>
    <definedName name="fs">#REF!</definedName>
    <definedName name="fsadfds" hidden="1">{#N/A,#N/A,TRUE,"SUM";#N/A,#N/A,TRUE,"EE";#N/A,#N/A,TRUE,"AC";#N/A,#N/A,TRUE,"SN"}</definedName>
    <definedName name="FSB">#REF!</definedName>
    <definedName name="fsdaf">#REF!</definedName>
    <definedName name="FSDATA">#REF!</definedName>
    <definedName name="fsdfcsfds">#REF!</definedName>
    <definedName name="FSDFSDF" hidden="1">{#N/A,#N/A,TRUE,"SUM";#N/A,#N/A,TRUE,"EE";#N/A,#N/A,TRUE,"AC";#N/A,#N/A,TRUE,"SN"}</definedName>
    <definedName name="FST">#REF!</definedName>
    <definedName name="ftss" hidden="1">{"FTS",#N/A,FALSE,"E"}</definedName>
    <definedName name="ftt" hidden="1">{#N/A,#N/A,TRUE,"SUM";#N/A,#N/A,TRUE,"EE";#N/A,#N/A,TRUE,"AC";#N/A,#N/A,TRUE,"SN"}</definedName>
    <definedName name="Full_Print">#REF!</definedName>
    <definedName name="fv">#REF!</definedName>
    <definedName name="fweg" hidden="1">{#N/A,#N/A,TRUE,"SUM";#N/A,#N/A,TRUE,"EE";#N/A,#N/A,TRUE,"AC";#N/A,#N/A,TRUE,"SN"}</definedName>
    <definedName name="FY">#REF!</definedName>
    <definedName name="fy_shear">#REF!</definedName>
    <definedName name="fzsdf" hidden="1">{#N/A,#N/A,TRUE,"SUM";#N/A,#N/A,TRUE,"EE";#N/A,#N/A,TRUE,"AC";#N/A,#N/A,TRUE,"SN"}</definedName>
    <definedName name="g">#REF!</definedName>
    <definedName name="g_h" hidden="1">{"'SUMMATION'!$B$2:$I$2"}</definedName>
    <definedName name="G_sum" hidden="1">INDIRECT(ADDRESS(ROW()-INDIRECT(ADDRESS(ROW()-1,COLUMN(#REF!))),COLUMN(#REF!))&amp;":"&amp;ADDRESS(ROW()-1,COLUMN(#REF!)))</definedName>
    <definedName name="G_total" hidden="1">INDIRECT(ADDRESS(ROW()-INDIRECT(ADDRESS(ROW()-1,COLUMN(#REF!))),COLUMN(#REF!))&amp;":"&amp;ADDRESS(ROW()-1,COLUMN(#REF!)))</definedName>
    <definedName name="gb" hidden="1">#REF!</definedName>
    <definedName name="gdhyr" hidden="1">{"conso",#N/A,FALSE,"cash flow"}</definedName>
    <definedName name="GEN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jgfh" hidden="1">{#N/A,#N/A,FALSE,"CCTV"}</definedName>
    <definedName name="gfjgfhfg" hidden="1">{#N/A,#N/A,FALSE,"CCTV"}</definedName>
    <definedName name="GG" hidden="1">{#N/A,#N/A,TRUE,"SUM";#N/A,#N/A,TRUE,"EE";#N/A,#N/A,TRUE,"AC";#N/A,#N/A,TRUE,"SN"}</definedName>
    <definedName name="GGC" hidden="1">{#N/A,#N/A,TRUE,"Str.";#N/A,#N/A,TRUE,"Steel &amp; Roof";#N/A,#N/A,TRUE,"Arc.";#N/A,#N/A,TRUE,"Preliminary";#N/A,#N/A,TRUE,"Sum_Prelim"}</definedName>
    <definedName name="ggg" hidden="1">{#N/A,#N/A,TRUE,"SUM";#N/A,#N/A,TRUE,"EE";#N/A,#N/A,TRUE,"AC";#N/A,#N/A,TRUE,"SN"}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{#N/A,#N/A,TRUE,"SUM";#N/A,#N/A,TRUE,"EE";#N/A,#N/A,TRUE,"AC";#N/A,#N/A,TRUE,"SN"}</definedName>
    <definedName name="ggh" hidden="1">{#N/A,#N/A,TRUE,"SUM";#N/A,#N/A,TRUE,"EE";#N/A,#N/A,TRUE,"AC";#N/A,#N/A,TRUE,"SN"}</definedName>
    <definedName name="gghh" hidden="1">{#N/A,#N/A,TRUE,"SUM";#N/A,#N/A,TRUE,"EE";#N/A,#N/A,TRUE,"AC";#N/A,#N/A,TRUE,"SN"}</definedName>
    <definedName name="gh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" hidden="1">#REF!</definedName>
    <definedName name="gid" hidden="1">{"'Sheet1'!$L$16"}</definedName>
    <definedName name="GIU">#REF!</definedName>
    <definedName name="gj" hidden="1">{"'Sheet1'!$L$16"}</definedName>
    <definedName name="gkd" hidden="1">{"'Sheet1'!$L$16"}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NFKD" hidden="1">{#N/A,#N/A,TRUE,"SUM";#N/A,#N/A,TRUE,"EE";#N/A,#N/A,TRUE,"AC";#N/A,#N/A,TRUE,"SN"}</definedName>
    <definedName name="GRAND">#REF!</definedName>
    <definedName name="GrandTotal">#REF!</definedName>
    <definedName name="GS" hidden="1">{#N/A,#N/A,TRUE,"Str.";#N/A,#N/A,TRUE,"Steel &amp; Roof";#N/A,#N/A,TRUE,"Arc.";#N/A,#N/A,TRUE,"Preliminary";#N/A,#N/A,TRUE,"Sum_Prelim"}</definedName>
    <definedName name="gt" hidden="1">#REF!</definedName>
    <definedName name="GV" hidden="1">{#N/A,#N/A,FALSE,"CCTV"}</definedName>
    <definedName name="H">#N/A</definedName>
    <definedName name="H_T" hidden="1">{"'SUMMATION'!$B$2:$I$2"}</definedName>
    <definedName name="HAJIME">#REF!</definedName>
    <definedName name="Hardware" hidden="1">{#N/A,#N/A,TRUE,"Str.";#N/A,#N/A,TRUE,"Steel &amp; Roof";#N/A,#N/A,TRUE,"Arc.";#N/A,#N/A,TRUE,"Preliminary";#N/A,#N/A,TRUE,"Sum_Prelim"}</definedName>
    <definedName name="hdggg" hidden="1">{#N/A,#N/A,FALSE,"HO Sum";#N/A,#N/A,FALSE,"HO Rates";#N/A,#N/A,FALSE,"Co Sum";#N/A,#N/A,FALSE,"Clients Office";#N/A,#N/A,FALSE,"Field Sum";#N/A,#N/A,FALSE,"Field Rates"}</definedName>
    <definedName name="Header_Row">ROW(#REF!)</definedName>
    <definedName name="Header_Row_8">ROW(#REF!)</definedName>
    <definedName name="hfdgfdg" hidden="1">{#N/A,#N/A,FALSE,"CCTV"}</definedName>
    <definedName name="hfjhhjj" hidden="1">{#N/A,#N/A,FALSE,"CCTV"}</definedName>
    <definedName name="hgdem" hidden="1">{#N/A,#N/A,TRUE,"Str.";#N/A,#N/A,TRUE,"Steel &amp; Roof";#N/A,#N/A,TRUE,"Arc.";#N/A,#N/A,TRUE,"Preliminary";#N/A,#N/A,TRUE,"Sum_Prelim"}</definedName>
    <definedName name="hgdkjh" hidden="1">{#N/A,#N/A,TRUE,"SUM";#N/A,#N/A,TRUE,"EE";#N/A,#N/A,TRUE,"AC";#N/A,#N/A,TRUE,"SN"}</definedName>
    <definedName name="hgjfgh" hidden="1">{#N/A,#N/A,FALSE,"CCTV"}</definedName>
    <definedName name="hgjgfhgh" hidden="1">{#N/A,#N/A,FALSE,"CCTV"}</definedName>
    <definedName name="hh" hidden="1">{"conso",#N/A,FALSE,"cash flow"}</definedName>
    <definedName name="hhh" hidden="1">{"'SUMMATION'!$B$2:$I$2"}</definedName>
    <definedName name="HHHHHH" hidden="1">{#N/A,#N/A,TRUE,"SUM";#N/A,#N/A,TRUE,"EE";#N/A,#N/A,TRUE,"AC";#N/A,#N/A,TRUE,"SN"}</definedName>
    <definedName name="HHHHHHHH" hidden="1">{#N/A,#N/A,TRUE,"SUM";#N/A,#N/A,TRUE,"EE";#N/A,#N/A,TRUE,"AC";#N/A,#N/A,TRUE,"SN"}</definedName>
    <definedName name="hi" hidden="1">{#N/A,#N/A,TRUE,"SUM";#N/A,#N/A,TRUE,"EE";#N/A,#N/A,TRUE,"AC";#N/A,#N/A,TRUE,"SN"}</definedName>
    <definedName name="hj" hidden="1">{"'Sheet1'!$L$16"}</definedName>
    <definedName name="hju" hidden="1">{#N/A,#N/A,TRUE,"SUM";#N/A,#N/A,TRUE,"EE";#N/A,#N/A,TRUE,"AC";#N/A,#N/A,TRUE,"SN"}</definedName>
    <definedName name="hmom" hidden="1">{#N/A,#N/A,TRUE,"SUM";#N/A,#N/A,TRUE,"EE";#N/A,#N/A,TRUE,"AC";#N/A,#N/A,TRUE,"SN"}</definedName>
    <definedName name="hrhth" hidden="1">{#N/A,#N/A,TRUE,"SUM";#N/A,#N/A,TRUE,"EE";#N/A,#N/A,TRUE,"AC";#N/A,#N/A,TRUE,"SN"}</definedName>
    <definedName name="HTML" hidden="1">{"'장비'!$A$3:$M$12"}</definedName>
    <definedName name="HTML_AAA" hidden="1">{"'Sheet1'!$L$16"}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"C:\SAni.htm"</definedName>
    <definedName name="HTML_PathTemplate" hidden="1">"C:\My Documents\HTMLTemp.htm"</definedName>
    <definedName name="HTML_Title" hidden="1">"อาคารเรียนรวม"</definedName>
    <definedName name="hu" hidden="1">{#N/A,#N/A,FALSE,"OUTPUT SHEET "}</definedName>
    <definedName name="huy" hidden="1">{"'Sheet1'!$L$16"}</definedName>
    <definedName name="I">NA()</definedName>
    <definedName name="i_a" hidden="1">{"'SUMMATION'!$B$2:$I$2"}</definedName>
    <definedName name="i7y">#REF!</definedName>
    <definedName name="ie">#REF!</definedName>
    <definedName name="ie___0">#REF!</definedName>
    <definedName name="ii">#REF!</definedName>
    <definedName name="IIII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iiouolkll" hidden="1">{#N/A,#N/A,FALSE,"CCTV"}</definedName>
    <definedName name="in" hidden="1">{#N/A,#N/A,TRUE,"Str.";#N/A,#N/A,TRUE,"Steel &amp; Roof";#N/A,#N/A,TRUE,"Arc.";#N/A,#N/A,TRUE,"Preliminary";#N/A,#N/A,TRUE,"Sum_Prelim"}</definedName>
    <definedName name="inflow">#REF!</definedName>
    <definedName name="INSU">#REF!</definedName>
    <definedName name="INSU_2">#REF!</definedName>
    <definedName name="Int">#REF!</definedName>
    <definedName name="Int_8">#REF!</definedName>
    <definedName name="Interest_Rate">#REF!</definedName>
    <definedName name="Interest_Rate_8">#REF!</definedName>
    <definedName name="Interior">#REF!</definedName>
    <definedName name="iop" hidden="1">{"'Sheet1'!$L$16"}</definedName>
    <definedName name="iouo" hidden="1">#REF!</definedName>
    <definedName name="ishii" hidden="1">{#N/A,#N/A,TRUE,"SUM";#N/A,#N/A,TRUE,"EE";#N/A,#N/A,TRUE,"AC";#N/A,#N/A,TRUE,"SN"}</definedName>
    <definedName name="isp" hidden="1">{"FTS",#N/A,FALSE,"E"}</definedName>
    <definedName name="ispex" hidden="1">{"PLANT BREAKUP",#N/A,FALSE,"E"}</definedName>
    <definedName name="ITEM">#REF!</definedName>
    <definedName name="iuy" hidden="1">#REF!</definedName>
    <definedName name="IX">#REF!</definedName>
    <definedName name="IXY">#REF!</definedName>
    <definedName name="IY">#REF!</definedName>
    <definedName name="j">#REF!</definedName>
    <definedName name="JDJD">#N/A</definedName>
    <definedName name="jghj" hidden="1">#REF!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fuh">#REF!</definedName>
    <definedName name="jhhhh" hidden="1">{#N/A,#N/A,FALSE,"CCTV"}</definedName>
    <definedName name="JJ">#REF!</definedName>
    <definedName name="jk">#REF!</definedName>
    <definedName name="JKDFSJCSDKJ" hidden="1">{#N/A,#N/A,TRUE,"SUM";#N/A,#N/A,TRUE,"EE";#N/A,#N/A,TRUE,"AC";#N/A,#N/A,TRUE,"SN"}</definedName>
    <definedName name="jki" hidden="1">{#N/A,#N/A,TRUE,"SUM";#N/A,#N/A,TRUE,"EE";#N/A,#N/A,TRUE,"AC";#N/A,#N/A,TRUE,"SN"}</definedName>
    <definedName name="jkkjkl" hidden="1">{#N/A,#N/A,TRUE,"SUM";#N/A,#N/A,TRUE,"EE";#N/A,#N/A,TRUE,"AC";#N/A,#N/A,TRUE,"SN"}</definedName>
    <definedName name="Joinery">#REF!</definedName>
    <definedName name="jrlfmf" hidden="1">{#N/A,#N/A,TRUE,"SUM";#N/A,#N/A,TRUE,"EE";#N/A,#N/A,TRUE,"AC";#N/A,#N/A,TRUE,"SN"}</definedName>
    <definedName name="jy">#REF!</definedName>
    <definedName name="K" hidden="1">{#N/A,#N/A,TRUE,"SUM";#N/A,#N/A,TRUE,"EE";#N/A,#N/A,TRUE,"AC";#N/A,#N/A,TRUE,"SN"}</definedName>
    <definedName name="kd" hidden="1">{"CASH FLOW",#N/A,FALSE,"A"}</definedName>
    <definedName name="kghlgh" hidden="1">{#N/A,#N/A,FALSE,"CCTV"}</definedName>
    <definedName name="KHJGDFGFHGHJ" hidden="1">{"cashflow",#N/A,FALSE,"cash flow"}</definedName>
    <definedName name="kiulil" hidden="1">{#N/A,#N/A,FALSE,"CCTV"}</definedName>
    <definedName name="kjfkl" hidden="1">{#N/A,#N/A,FALSE,"HO Rates";#N/A,#N/A,FALSE,"HO Sum"}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" hidden="1">#REF!</definedName>
    <definedName name="kjl" hidden="1">{"SUM",#N/A,FALSE,"summary";"BOOK11-1",#N/A,FALSE,"1CityGarden";"BOOK11-2",#N/A,FALSE,"2CountryGarden";"BOOK11-3",#N/A,FALSE,"3JUNGLE";"BOOK11-4CIVIL",#N/A,FALSE,"CIVIL"}</definedName>
    <definedName name="kk" hidden="1">{#N/A,#N/A,TRUE,"SUM";#N/A,#N/A,TRUE,"EE";#N/A,#N/A,TRUE,"AC";#N/A,#N/A,TRUE,"SN"}</definedName>
    <definedName name="KKKKKKKKKKKK" hidden="1">{#N/A,#N/A,FALSE,"HO Sum";#N/A,#N/A,FALSE,"HO Rates";#N/A,#N/A,FALSE,"Co Sum";#N/A,#N/A,FALSE,"Clients Office";#N/A,#N/A,FALSE,"Field Sum";#N/A,#N/A,FALSE,"Field Rates"}</definedName>
    <definedName name="KKPP" hidden="1">{#N/A,#N/A,TRUE,"SUM";#N/A,#N/A,TRUE,"EE";#N/A,#N/A,TRUE,"AC";#N/A,#N/A,TRUE,"SN"}</definedName>
    <definedName name="klhkl" hidden="1">#REF!</definedName>
    <definedName name="KOP">#REF!</definedName>
    <definedName name="KOUNT">#REF!</definedName>
    <definedName name="ku">#REF!</definedName>
    <definedName name="l">#REF!</definedName>
    <definedName name="l___0">#REF!</definedName>
    <definedName name="L_UNIT">#REF!</definedName>
    <definedName name="L1_">NA()</definedName>
    <definedName name="L2_">NA()</definedName>
    <definedName name="lab">IF(#REF!="","",VLOOKUP(#REF!,#REF!,5,0))</definedName>
    <definedName name="LAB2A">#REF!</definedName>
    <definedName name="LAB3A">#REF!</definedName>
    <definedName name="LAB4A">#REF!</definedName>
    <definedName name="LAB8A">#REF!</definedName>
    <definedName name="LABO">#REF!</definedName>
    <definedName name="lady">"Picture 223"</definedName>
    <definedName name="Last_Row">NA()</definedName>
    <definedName name="Last_Row___0">NA()</definedName>
    <definedName name="Last_Row___0___0">NA()</definedName>
    <definedName name="Last_Row___0___6">NA()</definedName>
    <definedName name="Last_Row___10">NA()</definedName>
    <definedName name="Last_Row___2">NA()</definedName>
    <definedName name="Last_Row___3">NA()</definedName>
    <definedName name="Last_Row___3___0">NA()</definedName>
    <definedName name="Last_Row___4">NA()</definedName>
    <definedName name="Last_Row___4___0">NA()</definedName>
    <definedName name="Last_Row___5">NA()</definedName>
    <definedName name="Last_Row___5___0">NA()</definedName>
    <definedName name="Last_Row___6">NA()</definedName>
    <definedName name="Last_Row___7">NA()</definedName>
    <definedName name="Last_Row___8">NA()</definedName>
    <definedName name="Last_Row___9">NA()</definedName>
    <definedName name="leau" hidden="1">{#N/A,#N/A,TRUE,"SUM";#N/A,#N/A,TRUE,"EE";#N/A,#N/A,TRUE,"AC";#N/A,#N/A,TRUE,"SN"}</definedName>
    <definedName name="Letter" hidden="1">{#N/A,#N/A,TRUE,"Str.";#N/A,#N/A,TRUE,"Steel &amp; Roof";#N/A,#N/A,TRUE,"Arc.";#N/A,#N/A,TRUE,"Preliminary";#N/A,#N/A,TRUE,"Sum_Prelim"}</definedName>
    <definedName name="li">#REF!</definedName>
    <definedName name="LIFT_L">#REF!</definedName>
    <definedName name="LIFT_M">#REF!</definedName>
    <definedName name="LIST" hidden="1">{#N/A,#N/A,TRUE,"Str.";#N/A,#N/A,TRUE,"Steel &amp; Roof";#N/A,#N/A,TRUE,"Arc.";#N/A,#N/A,TRUE,"Preliminary";#N/A,#N/A,TRUE,"Sum_Prelim"}</definedName>
    <definedName name="ljkl" hidden="1">{"SUM",#N/A,FALSE,"summary";"BOOK11-1",#N/A,FALSE,"1CityGarden";"BOOK11-2",#N/A,FALSE,"2CountryGarden";"BOOK11-3",#N/A,FALSE,"3JUNGLE";"BOOK11-4CIVIL",#N/A,FALSE,"CIVIL"}</definedName>
    <definedName name="lk" hidden="1">#REF!</definedName>
    <definedName name="lkirf" hidden="1">{#N/A,#N/A,TRUE,"SUM";#N/A,#N/A,TRUE,"EE";#N/A,#N/A,TRUE,"AC";#N/A,#N/A,TRUE,"SN"}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l">#N/A</definedName>
    <definedName name="lll" hidden="1">{"sales",#N/A,FALSE,"SALES"}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">#REF!</definedName>
    <definedName name="LLOOO">#REF!</definedName>
    <definedName name="LOAD_CENTER">"$#REF!.$K$1"</definedName>
    <definedName name="Loan_Amount">#REF!</definedName>
    <definedName name="Loan_Start">#REF!</definedName>
    <definedName name="Loan_Years">#REF!</definedName>
    <definedName name="Loan_Years_8">#REF!</definedName>
    <definedName name="log" hidden="1">{#N/A,#N/A,TRUE,"SUM";#N/A,#N/A,TRUE,"EE";#N/A,#N/A,TRUE,"AC";#N/A,#N/A,TRUE,"SN"}</definedName>
    <definedName name="looo" hidden="1">{#N/A,#N/A,TRUE,"SUM";#N/A,#N/A,TRUE,"EE";#N/A,#N/A,TRUE,"AC";#N/A,#N/A,TRUE,"SN"}</definedName>
    <definedName name="low">#REF!</definedName>
    <definedName name="LP" hidden="1">{#N/A,#N/A,TRUE,"Str.";#N/A,#N/A,TRUE,"Steel &amp; Roof";#N/A,#N/A,TRUE,"Arc.";#N/A,#N/A,TRUE,"Preliminary";#N/A,#N/A,TRUE,"Sum_Prelim"}</definedName>
    <definedName name="Ls">#REF!</definedName>
    <definedName name="Lt." hidden="1">{#N/A,#N/A,TRUE,"Str.";#N/A,#N/A,TRUE,"Steel &amp; Roof";#N/A,#N/A,TRUE,"Arc.";#N/A,#N/A,TRUE,"Preliminary";#N/A,#N/A,TRUE,"Sum_Prelim"}</definedName>
    <definedName name="lugoljgb.ikf" hidden="1">{#N/A,#N/A,FALSE,"HO Sum";#N/A,#N/A,FALSE,"HO Rates";#N/A,#N/A,FALSE,"Co Sum";#N/A,#N/A,FALSE,"Clients Office";#N/A,#N/A,FALSE,"Field Sum";#N/A,#N/A,FALSE,"Field Rates"}</definedName>
    <definedName name="m" hidden="1">{#N/A,#N/A,TRUE,"SUM";#N/A,#N/A,TRUE,"EE";#N/A,#N/A,TRUE,"AC";#N/A,#N/A,TRUE,"SN"}</definedName>
    <definedName name="M_">#REF!</definedName>
    <definedName name="M_1">#REF!</definedName>
    <definedName name="M_2">#REF!</definedName>
    <definedName name="M_UNIT">#REF!</definedName>
    <definedName name="M0X">#REF!</definedName>
    <definedName name="M0Y">#REF!</definedName>
    <definedName name="maninput">#REF!</definedName>
    <definedName name="mantotal">#REF!</definedName>
    <definedName name="mantotalqty">#REF!</definedName>
    <definedName name="Masonry">#REF!</definedName>
    <definedName name="mat">IF(#REF!="","",VLOOKUP(#REF!,#REF!,4,0))</definedName>
    <definedName name="MAT2A">#REF!</definedName>
    <definedName name="MAT3A">#REF!</definedName>
    <definedName name="MAT4A">#REF!</definedName>
    <definedName name="MAT8A">#REF!</definedName>
    <definedName name="MATERIAL">#REF!</definedName>
    <definedName name="matinput">#REF!</definedName>
    <definedName name="Matt_C">#REF!</definedName>
    <definedName name="mattotal">#REF!</definedName>
    <definedName name="mattotalqty">#REF!</definedName>
    <definedName name="matv">NA()</definedName>
    <definedName name="MAX">#REF!</definedName>
    <definedName name="MAY" hidden="1">{#N/A,#N/A,TRUE,"Str.";#N/A,#N/A,TRUE,"Steel &amp; Roof";#N/A,#N/A,TRUE,"Arc.";#N/A,#N/A,TRUE,"Preliminary";#N/A,#N/A,TRUE,"Sum_Prelim"}</definedName>
    <definedName name="MBX">#REF!</definedName>
    <definedName name="MBY">#REF!</definedName>
    <definedName name="Mc">#REF!</definedName>
    <definedName name="mdkeklde" hidden="1">{#N/A,#N/A,TRUE,"SUM";#N/A,#N/A,TRUE,"EE";#N/A,#N/A,TRUE,"AC";#N/A,#N/A,TRUE,"SN"}</definedName>
    <definedName name="ME" hidden="1">{#N/A,#N/A,TRUE,"SUM";#N/A,#N/A,TRUE,"EE";#N/A,#N/A,TRUE,"AC";#N/A,#N/A,TRUE,"SN"}</definedName>
    <definedName name="ME_Mat_List">#REF!</definedName>
    <definedName name="ME_Sale_Rate">#REF!</definedName>
    <definedName name="mechanicla">#REF!</definedName>
    <definedName name="Meinhardt__Thailand__Ltd.">#REF!</definedName>
    <definedName name="Meinhardt__Thailand__Ltd.___0">#REF!</definedName>
    <definedName name="Meta">#REF!</definedName>
    <definedName name="Metal">#REF!</definedName>
    <definedName name="mfjrlk" hidden="1">{#N/A,#N/A,TRUE,"SUM";#N/A,#N/A,TRUE,"EE";#N/A,#N/A,TRUE,"AC";#N/A,#N/A,TRUE,"SN"}</definedName>
    <definedName name="mfkf" hidden="1">{#N/A,#N/A,TRUE,"SUM";#N/A,#N/A,TRUE,"EE";#N/A,#N/A,TRUE,"AC";#N/A,#N/A,TRUE,"SN"}</definedName>
    <definedName name="mflvkg" hidden="1">{#N/A,#N/A,TRUE,"SUM";#N/A,#N/A,TRUE,"EE";#N/A,#N/A,TRUE,"AC";#N/A,#N/A,TRUE,"SN"}</definedName>
    <definedName name="mik" hidden="1">{#N/A,#N/A,TRUE,"SUM";#N/A,#N/A,TRUE,"EE";#N/A,#N/A,TRUE,"AC";#N/A,#N/A,TRUE,"SN"}</definedName>
    <definedName name="MISC">#REF!</definedName>
    <definedName name="Miscellaneous">#REF!</definedName>
    <definedName name="mj" hidden="1">{#N/A,#N/A,TRUE,"Str.";#N/A,#N/A,TRUE,"Steel &amp; Roof";#N/A,#N/A,TRUE,"Arc.";#N/A,#N/A,TRUE,"Preliminary";#N/A,#N/A,TRUE,"Sum_Prelim"}</definedName>
    <definedName name="mjekd" hidden="1">{#N/A,#N/A,TRUE,"SUM";#N/A,#N/A,TRUE,"EE";#N/A,#N/A,TRUE,"AC";#N/A,#N/A,TRUE,"SN"}</definedName>
    <definedName name="mji" hidden="1">{#N/A,#N/A,TRUE,"SUM";#N/A,#N/A,TRUE,"EE";#N/A,#N/A,TRUE,"AC";#N/A,#N/A,TRUE,"SN"}</definedName>
    <definedName name="mkdld" hidden="1">{#N/A,#N/A,TRUE,"SUM";#N/A,#N/A,TRUE,"EE";#N/A,#N/A,TRUE,"AC";#N/A,#N/A,TRUE,"SN"}</definedName>
    <definedName name="mkfirkf" hidden="1">{#N/A,#N/A,TRUE,"SUM";#N/A,#N/A,TRUE,"EE";#N/A,#N/A,TRUE,"AC";#N/A,#N/A,TRUE,"SN"}</definedName>
    <definedName name="mki" hidden="1">{#N/A,#N/A,TRUE,"SUM";#N/A,#N/A,TRUE,"EE";#N/A,#N/A,TRUE,"AC";#N/A,#N/A,TRUE,"SN"}</definedName>
    <definedName name="mm" hidden="1">{"'장비'!$A$3:$M$12"}</definedName>
    <definedName name="Mmax">#REF!</definedName>
    <definedName name="MMM">#REF!</definedName>
    <definedName name="mmmccc">#REF!</definedName>
    <definedName name="mmmm">#REF!</definedName>
    <definedName name="mmmmm" hidden="1">{#N/A,#N/A,FALSE,"CCTV"}</definedName>
    <definedName name="mmn" hidden="1">{"SUM",#N/A,FALSE,"summary";"BOOK11-1",#N/A,FALSE,"1CityGarden";"BOOK11-2",#N/A,FALSE,"2CountryGarden";"BOOK11-3",#N/A,FALSE,"3JUNGLE";"BOOK11-4CIVIL",#N/A,FALSE,"CIVIL"}</definedName>
    <definedName name="mn" hidden="1">{"'Sheet1'!$L$16"}</definedName>
    <definedName name="MODE2A">#REF!</definedName>
    <definedName name="MODE3A">#REF!</definedName>
    <definedName name="MODE4A">#REF!</definedName>
    <definedName name="MODE8A">#REF!</definedName>
    <definedName name="MONTHIPA" hidden="1">#REF!</definedName>
    <definedName name="MonthNo">#REF!</definedName>
    <definedName name="MonthStart">#REF!</definedName>
    <definedName name="Mortgage_Types">#REF!</definedName>
    <definedName name="MP">#REF!</definedName>
    <definedName name="MR" hidden="1">{#N/A,#N/A,FALSE,"OUTPUT SHEET "}</definedName>
    <definedName name="MSX">#REF!</definedName>
    <definedName name="MSY">#REF!</definedName>
    <definedName name="MX">#REF!</definedName>
    <definedName name="MY">#REF!</definedName>
    <definedName name="n">#REF!</definedName>
    <definedName name="NAME" hidden="1">{#N/A,#N/A,TRUE,"SUM";#N/A,#N/A,TRUE,"EE";#N/A,#N/A,TRUE,"AC";#N/A,#N/A,TRUE,"SN"}</definedName>
    <definedName name="name5">#REF!</definedName>
    <definedName name="name6">#REF!</definedName>
    <definedName name="New" hidden="1">{#N/A,#N/A,TRUE,"Str.";#N/A,#N/A,TRUE,"Steel &amp; Roof";#N/A,#N/A,TRUE,"Arc.";#N/A,#N/A,TRUE,"Preliminary";#N/A,#N/A,TRUE,"Sum_Prelim"}</definedName>
    <definedName name="NEWNAME" hidden="1">{#N/A,#N/A,FALSE,"CCTV"}</definedName>
    <definedName name="neww" hidden="1">{#N/A,#N/A,TRUE,"SUM";#N/A,#N/A,TRUE,"EE";#N/A,#N/A,TRUE,"AC";#N/A,#N/A,TRUE,"SN"}</definedName>
    <definedName name="ni" hidden="1">{"conso",#N/A,FALSE,"cash flow"}</definedName>
    <definedName name="nji" hidden="1">{#N/A,#N/A,TRUE,"SUM";#N/A,#N/A,TRUE,"EE";#N/A,#N/A,TRUE,"AC";#N/A,#N/A,TRUE,"SN"}</definedName>
    <definedName name="nju" hidden="1">{#N/A,#N/A,TRUE,"SUM";#N/A,#N/A,TRUE,"EE";#N/A,#N/A,TRUE,"AC";#N/A,#N/A,TRUE,"SN"}</definedName>
    <definedName name="nkknk" hidden="1">{#N/A,#N/A,FALSE,"CCTV"}</definedName>
    <definedName name="nlkjl" hidden="1">{"SUM",#N/A,FALSE,"summary";"BOOK11-1",#N/A,FALSE,"1CityGarden";"BOOK11-2",#N/A,FALSE,"2CountryGarden";"BOOK11-3",#N/A,FALSE,"3JUNGLE";"BOOK11-4CIVIL",#N/A,FALSE,"CIVIL"}</definedName>
    <definedName name="nm" hidden="1">{#N/A,#N/A,TRUE,"Str.";#N/A,#N/A,TRUE,"Steel &amp; Roof";#N/A,#N/A,TRUE,"Arc.";#N/A,#N/A,TRUE,"Preliminary";#N/A,#N/A,TRUE,"Sum_Prelim"}</definedName>
    <definedName name="nn" hidden="1">{#N/A,#N/A,TRUE,"SUM";#N/A,#N/A,TRUE,"EE";#N/A,#N/A,TRUE,"AC";#N/A,#N/A,TRUE,"SN"}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 hidden="1">{#N/A,#N/A,TRUE,"Str.";#N/A,#N/A,TRUE,"Steel &amp; Roof";#N/A,#N/A,TRUE,"Arc.";#N/A,#N/A,TRUE,"Preliminary";#N/A,#N/A,TRUE,"Sum_Prelim"}</definedName>
    <definedName name="no.3">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raw" hidden="1">{#N/A,#N/A,TRUE,"SUM";#N/A,#N/A,TRUE,"EE";#N/A,#N/A,TRUE,"AC";#N/A,#N/A,TRUE,"SN"}</definedName>
    <definedName name="nu" hidden="1">{"cashflow",#N/A,FALSE,"cash flow"}</definedName>
    <definedName name="NUM">#N/A</definedName>
    <definedName name="Num_Pmt_Per_Year">#REF!</definedName>
    <definedName name="NUMBER">#REF!</definedName>
    <definedName name="Number_of_Payments">MATCH(0.01,End_Bal,-1)+1</definedName>
    <definedName name="Number_of_Payments___0">MATCH(0.01,End_Bal,-1)+1</definedName>
    <definedName name="Number_of_Payments___0___0">MATCH(0.01,End_Bal,-1)+1</definedName>
    <definedName name="Number_of_Payments___0___0_1">MATCH(0.01,End_Bal,-1)+1</definedName>
    <definedName name="Number_of_Payments___0___0_1_1">MATCH(0.01,End_Bal_8,-1)+1</definedName>
    <definedName name="Number_of_Payments___0___0_10">MATCH(0.01,End_Bal,-1)+1</definedName>
    <definedName name="Number_of_Payments___0___0_10_1">MATCH(0.01,End_Bal_8,-1)+1</definedName>
    <definedName name="Number_of_Payments___0___0_11">MATCH(0.01,End_Bal,-1)+1</definedName>
    <definedName name="Number_of_Payments___0___0_11_1">MATCH(0.01,End_Bal_8,-1)+1</definedName>
    <definedName name="Number_of_Payments___0___0_12">MATCH(0.01,End_Bal,-1)+1</definedName>
    <definedName name="Number_of_Payments___0___0_12_1">MATCH(0.01,End_Bal_8,-1)+1</definedName>
    <definedName name="Number_of_Payments___0___0_13">MATCH(0.01,End_Bal,-1)+1</definedName>
    <definedName name="Number_of_Payments___0___0_13_1">MATCH(0.01,End_Bal_8,-1)+1</definedName>
    <definedName name="Number_of_Payments___0___0_2">MATCH(0.01,End_Bal,-1)+1</definedName>
    <definedName name="Number_of_Payments___0___0_2_1">MATCH(0.01,End_Bal_8,-1)+1</definedName>
    <definedName name="Number_of_Payments___0___0_3">MATCH(0.01,End_Bal,-1)+1</definedName>
    <definedName name="Number_of_Payments___0___0_3_1">MATCH(0.01,End_Bal_8,-1)+1</definedName>
    <definedName name="Number_of_Payments___0___0_4">MATCH(0.01,End_Bal,-1)+1</definedName>
    <definedName name="Number_of_Payments___0___0_4_1">MATCH(0.01,End_Bal_8,-1)+1</definedName>
    <definedName name="Number_of_Payments___0___0_5">MATCH(0.01,End_Bal,-1)+1</definedName>
    <definedName name="Number_of_Payments___0___0_5_1">MATCH(0.01,End_Bal_8,-1)+1</definedName>
    <definedName name="Number_of_Payments___0___0_7">MATCH(0.01,End_Bal,-1)+1</definedName>
    <definedName name="Number_of_Payments___0___0_7_1">MATCH(0.01,End_Bal_8,-1)+1</definedName>
    <definedName name="Number_of_Payments___0___0_8">MATCH(0.01,End_Bal_8,-1)+1</definedName>
    <definedName name="Number_of_Payments___0___0_9">MATCH(0.01,End_Bal,-1)+1</definedName>
    <definedName name="Number_of_Payments___0___0_9_1">MATCH(0.01,End_Bal_8,-1)+1</definedName>
    <definedName name="Number_of_Payments___0___6">MATCH(0.01,End_Bal,-1)+1</definedName>
    <definedName name="Number_of_Payments___0___6_1">MATCH(0.01,End_Bal,-1)+1</definedName>
    <definedName name="Number_of_Payments___0___6_1_1">MATCH(0.01,End_Bal_8,-1)+1</definedName>
    <definedName name="Number_of_Payments___0___6_10">MATCH(0.01,End_Bal,-1)+1</definedName>
    <definedName name="Number_of_Payments___0___6_10_1">MATCH(0.01,End_Bal_8,-1)+1</definedName>
    <definedName name="Number_of_Payments___0___6_11">MATCH(0.01,End_Bal,-1)+1</definedName>
    <definedName name="Number_of_Payments___0___6_11_1">MATCH(0.01,End_Bal_8,-1)+1</definedName>
    <definedName name="Number_of_Payments___0___6_12">MATCH(0.01,End_Bal,-1)+1</definedName>
    <definedName name="Number_of_Payments___0___6_12_1">MATCH(0.01,End_Bal_8,-1)+1</definedName>
    <definedName name="Number_of_Payments___0___6_13">MATCH(0.01,End_Bal,-1)+1</definedName>
    <definedName name="Number_of_Payments___0___6_13_1">MATCH(0.01,End_Bal_8,-1)+1</definedName>
    <definedName name="Number_of_Payments___0___6_2">MATCH(0.01,End_Bal,-1)+1</definedName>
    <definedName name="Number_of_Payments___0___6_2_1">MATCH(0.01,End_Bal_8,-1)+1</definedName>
    <definedName name="Number_of_Payments___0___6_3">MATCH(0.01,End_Bal,-1)+1</definedName>
    <definedName name="Number_of_Payments___0___6_3_1">MATCH(0.01,End_Bal_8,-1)+1</definedName>
    <definedName name="Number_of_Payments___0___6_4">MATCH(0.01,End_Bal,-1)+1</definedName>
    <definedName name="Number_of_Payments___0___6_4_1">MATCH(0.01,End_Bal_8,-1)+1</definedName>
    <definedName name="Number_of_Payments___0___6_5">MATCH(0.01,End_Bal,-1)+1</definedName>
    <definedName name="Number_of_Payments___0___6_5_1">MATCH(0.01,End_Bal_8,-1)+1</definedName>
    <definedName name="Number_of_Payments___0___6_7">MATCH(0.01,End_Bal,-1)+1</definedName>
    <definedName name="Number_of_Payments___0___6_7_1">MATCH(0.01,End_Bal_8,-1)+1</definedName>
    <definedName name="Number_of_Payments___0___6_8">MATCH(0.01,End_Bal_8,-1)+1</definedName>
    <definedName name="Number_of_Payments___0___6_9">MATCH(0.01,End_Bal,-1)+1</definedName>
    <definedName name="Number_of_Payments___0___6_9_1">MATCH(0.01,End_Bal_8,-1)+1</definedName>
    <definedName name="Number_of_Payments___0_1">MATCH(0.01,End_Bal,-1)+1</definedName>
    <definedName name="Number_of_Payments___0_1_1">MATCH(0.01,End_Bal_8,-1)+1</definedName>
    <definedName name="Number_of_Payments___0_10">MATCH(0.01,End_Bal,-1)+1</definedName>
    <definedName name="Number_of_Payments___0_10_1">MATCH(0.01,End_Bal_8,-1)+1</definedName>
    <definedName name="Number_of_Payments___0_11">MATCH(0.01,End_Bal,-1)+1</definedName>
    <definedName name="Number_of_Payments___0_11_1">MATCH(0.01,End_Bal_8,-1)+1</definedName>
    <definedName name="Number_of_Payments___0_12">MATCH(0.01,End_Bal,-1)+1</definedName>
    <definedName name="Number_of_Payments___0_12_1">MATCH(0.01,End_Bal_8,-1)+1</definedName>
    <definedName name="Number_of_Payments___0_13">MATCH(0.01,End_Bal,-1)+1</definedName>
    <definedName name="Number_of_Payments___0_13_1">MATCH(0.01,End_Bal_8,-1)+1</definedName>
    <definedName name="Number_of_Payments___0_2">MATCH(0.01,End_Bal,-1)+1</definedName>
    <definedName name="Number_of_Payments___0_2_1">MATCH(0.01,End_Bal_8,-1)+1</definedName>
    <definedName name="Number_of_Payments___0_3">MATCH(0.01,End_Bal,-1)+1</definedName>
    <definedName name="Number_of_Payments___0_3_1">MATCH(0.01,End_Bal_8,-1)+1</definedName>
    <definedName name="Number_of_Payments___0_4">MATCH(0.01,End_Bal,-1)+1</definedName>
    <definedName name="Number_of_Payments___0_4_1">MATCH(0.01,End_Bal_8,-1)+1</definedName>
    <definedName name="Number_of_Payments___0_5">MATCH(0.01,End_Bal,-1)+1</definedName>
    <definedName name="Number_of_Payments___0_5_1">MATCH(0.01,End_Bal_8,-1)+1</definedName>
    <definedName name="Number_of_Payments___0_7">MATCH(0.01,End_Bal,-1)+1</definedName>
    <definedName name="Number_of_Payments___0_7_1">MATCH(0.01,End_Bal_8,-1)+1</definedName>
    <definedName name="Number_of_Payments___0_8">MATCH(0.01,End_Bal_8,-1)+1</definedName>
    <definedName name="Number_of_Payments___0_9">MATCH(0.01,End_Bal,-1)+1</definedName>
    <definedName name="Number_of_Payments___0_9_1">MATCH(0.01,End_Bal_8,-1)+1</definedName>
    <definedName name="Number_of_Payments___10">#N/A</definedName>
    <definedName name="Number_of_Payments___2">#N/A</definedName>
    <definedName name="Number_of_Payments___3">MATCH(0.01,End_Bal,-1)+1</definedName>
    <definedName name="Number_of_Payments___3___0">MATCH(0.01,End_Bal,-1)+1</definedName>
    <definedName name="Number_of_Payments___3___0_1">MATCH(0.01,End_Bal,-1)+1</definedName>
    <definedName name="Number_of_Payments___3___0_1_1">MATCH(0.01,End_Bal_8,-1)+1</definedName>
    <definedName name="Number_of_Payments___3___0_10">MATCH(0.01,End_Bal,-1)+1</definedName>
    <definedName name="Number_of_Payments___3___0_10_1">MATCH(0.01,End_Bal_8,-1)+1</definedName>
    <definedName name="Number_of_Payments___3___0_11">MATCH(0.01,End_Bal,-1)+1</definedName>
    <definedName name="Number_of_Payments___3___0_11_1">MATCH(0.01,End_Bal_8,-1)+1</definedName>
    <definedName name="Number_of_Payments___3___0_12">MATCH(0.01,End_Bal,-1)+1</definedName>
    <definedName name="Number_of_Payments___3___0_12_1">MATCH(0.01,End_Bal_8,-1)+1</definedName>
    <definedName name="Number_of_Payments___3___0_13">MATCH(0.01,End_Bal,-1)+1</definedName>
    <definedName name="Number_of_Payments___3___0_13_1">MATCH(0.01,End_Bal_8,-1)+1</definedName>
    <definedName name="Number_of_Payments___3___0_2">MATCH(0.01,End_Bal,-1)+1</definedName>
    <definedName name="Number_of_Payments___3___0_2_1">MATCH(0.01,End_Bal_8,-1)+1</definedName>
    <definedName name="Number_of_Payments___3___0_3">MATCH(0.01,End_Bal,-1)+1</definedName>
    <definedName name="Number_of_Payments___3___0_3_1">MATCH(0.01,End_Bal_8,-1)+1</definedName>
    <definedName name="Number_of_Payments___3___0_4">MATCH(0.01,End_Bal,-1)+1</definedName>
    <definedName name="Number_of_Payments___3___0_4_1">MATCH(0.01,End_Bal_8,-1)+1</definedName>
    <definedName name="Number_of_Payments___3___0_5">MATCH(0.01,End_Bal,-1)+1</definedName>
    <definedName name="Number_of_Payments___3___0_5_1">MATCH(0.01,End_Bal_8,-1)+1</definedName>
    <definedName name="Number_of_Payments___3___0_7">MATCH(0.01,End_Bal,-1)+1</definedName>
    <definedName name="Number_of_Payments___3___0_7_1">MATCH(0.01,End_Bal_8,-1)+1</definedName>
    <definedName name="Number_of_Payments___3___0_8">MATCH(0.01,End_Bal_8,-1)+1</definedName>
    <definedName name="Number_of_Payments___3___0_9">MATCH(0.01,End_Bal,-1)+1</definedName>
    <definedName name="Number_of_Payments___3___0_9_1">MATCH(0.01,End_Bal_8,-1)+1</definedName>
    <definedName name="Number_of_Payments___3_1">MATCH(0.01,End_Bal,-1)+1</definedName>
    <definedName name="Number_of_Payments___3_1_1">MATCH(0.01,End_Bal_8,-1)+1</definedName>
    <definedName name="Number_of_Payments___3_10">MATCH(0.01,End_Bal,-1)+1</definedName>
    <definedName name="Number_of_Payments___3_10_1">MATCH(0.01,End_Bal_8,-1)+1</definedName>
    <definedName name="Number_of_Payments___3_11">MATCH(0.01,End_Bal,-1)+1</definedName>
    <definedName name="Number_of_Payments___3_11_1">MATCH(0.01,End_Bal_8,-1)+1</definedName>
    <definedName name="Number_of_Payments___3_12">MATCH(0.01,End_Bal,-1)+1</definedName>
    <definedName name="Number_of_Payments___3_12_1">MATCH(0.01,End_Bal_8,-1)+1</definedName>
    <definedName name="Number_of_Payments___3_13">MATCH(0.01,End_Bal,-1)+1</definedName>
    <definedName name="Number_of_Payments___3_13_1">MATCH(0.01,End_Bal_8,-1)+1</definedName>
    <definedName name="Number_of_Payments___3_2">MATCH(0.01,End_Bal,-1)+1</definedName>
    <definedName name="Number_of_Payments___3_2_1">MATCH(0.01,End_Bal_8,-1)+1</definedName>
    <definedName name="Number_of_Payments___3_3">MATCH(0.01,End_Bal,-1)+1</definedName>
    <definedName name="Number_of_Payments___3_3_1">MATCH(0.01,End_Bal_8,-1)+1</definedName>
    <definedName name="Number_of_Payments___3_4">MATCH(0.01,End_Bal,-1)+1</definedName>
    <definedName name="Number_of_Payments___3_4_1">MATCH(0.01,End_Bal_8,-1)+1</definedName>
    <definedName name="Number_of_Payments___3_5">MATCH(0.01,End_Bal,-1)+1</definedName>
    <definedName name="Number_of_Payments___3_5_1">MATCH(0.01,End_Bal_8,-1)+1</definedName>
    <definedName name="Number_of_Payments___3_7">MATCH(0.01,End_Bal,-1)+1</definedName>
    <definedName name="Number_of_Payments___3_7_1">MATCH(0.01,End_Bal_8,-1)+1</definedName>
    <definedName name="Number_of_Payments___3_8">MATCH(0.01,End_Bal_8,-1)+1</definedName>
    <definedName name="Number_of_Payments___3_9">MATCH(0.01,End_Bal,-1)+1</definedName>
    <definedName name="Number_of_Payments___3_9_1">MATCH(0.01,End_Bal_8,-1)+1</definedName>
    <definedName name="Number_of_Payments___4">MATCH(0.01,End_Bal,-1)+1</definedName>
    <definedName name="Number_of_Payments___4___0">MATCH(0.01,End_Bal,-1)+1</definedName>
    <definedName name="Number_of_Payments___4___0_1">MATCH(0.01,End_Bal,-1)+1</definedName>
    <definedName name="Number_of_Payments___4___0_1_1">MATCH(0.01,End_Bal_8,-1)+1</definedName>
    <definedName name="Number_of_Payments___4___0_10">MATCH(0.01,End_Bal,-1)+1</definedName>
    <definedName name="Number_of_Payments___4___0_10_1">MATCH(0.01,End_Bal_8,-1)+1</definedName>
    <definedName name="Number_of_Payments___4___0_11">MATCH(0.01,End_Bal,-1)+1</definedName>
    <definedName name="Number_of_Payments___4___0_11_1">MATCH(0.01,End_Bal_8,-1)+1</definedName>
    <definedName name="Number_of_Payments___4___0_12">MATCH(0.01,End_Bal,-1)+1</definedName>
    <definedName name="Number_of_Payments___4___0_12_1">MATCH(0.01,End_Bal_8,-1)+1</definedName>
    <definedName name="Number_of_Payments___4___0_13">MATCH(0.01,End_Bal,-1)+1</definedName>
    <definedName name="Number_of_Payments___4___0_13_1">MATCH(0.01,End_Bal_8,-1)+1</definedName>
    <definedName name="Number_of_Payments___4___0_2">MATCH(0.01,End_Bal,-1)+1</definedName>
    <definedName name="Number_of_Payments___4___0_2_1">MATCH(0.01,End_Bal_8,-1)+1</definedName>
    <definedName name="Number_of_Payments___4___0_3">MATCH(0.01,End_Bal,-1)+1</definedName>
    <definedName name="Number_of_Payments___4___0_3_1">MATCH(0.01,End_Bal_8,-1)+1</definedName>
    <definedName name="Number_of_Payments___4___0_4">MATCH(0.01,End_Bal,-1)+1</definedName>
    <definedName name="Number_of_Payments___4___0_4_1">MATCH(0.01,End_Bal_8,-1)+1</definedName>
    <definedName name="Number_of_Payments___4___0_5">MATCH(0.01,End_Bal,-1)+1</definedName>
    <definedName name="Number_of_Payments___4___0_5_1">MATCH(0.01,End_Bal_8,-1)+1</definedName>
    <definedName name="Number_of_Payments___4___0_7">MATCH(0.01,End_Bal,-1)+1</definedName>
    <definedName name="Number_of_Payments___4___0_7_1">MATCH(0.01,End_Bal_8,-1)+1</definedName>
    <definedName name="Number_of_Payments___4___0_8">MATCH(0.01,End_Bal_8,-1)+1</definedName>
    <definedName name="Number_of_Payments___4___0_9">MATCH(0.01,End_Bal,-1)+1</definedName>
    <definedName name="Number_of_Payments___4___0_9_1">MATCH(0.01,End_Bal_8,-1)+1</definedName>
    <definedName name="Number_of_Payments___4_1">MATCH(0.01,End_Bal,-1)+1</definedName>
    <definedName name="Number_of_Payments___4_1_1">MATCH(0.01,End_Bal_8,-1)+1</definedName>
    <definedName name="Number_of_Payments___4_10">MATCH(0.01,End_Bal,-1)+1</definedName>
    <definedName name="Number_of_Payments___4_10_1">MATCH(0.01,End_Bal_8,-1)+1</definedName>
    <definedName name="Number_of_Payments___4_11">MATCH(0.01,End_Bal,-1)+1</definedName>
    <definedName name="Number_of_Payments___4_11_1">MATCH(0.01,End_Bal_8,-1)+1</definedName>
    <definedName name="Number_of_Payments___4_12">MATCH(0.01,End_Bal,-1)+1</definedName>
    <definedName name="Number_of_Payments___4_12_1">MATCH(0.01,End_Bal_8,-1)+1</definedName>
    <definedName name="Number_of_Payments___4_13">MATCH(0.01,End_Bal,-1)+1</definedName>
    <definedName name="Number_of_Payments___4_13_1">MATCH(0.01,End_Bal_8,-1)+1</definedName>
    <definedName name="Number_of_Payments___4_2">MATCH(0.01,End_Bal,-1)+1</definedName>
    <definedName name="Number_of_Payments___4_2_1">MATCH(0.01,End_Bal_8,-1)+1</definedName>
    <definedName name="Number_of_Payments___4_3">MATCH(0.01,End_Bal,-1)+1</definedName>
    <definedName name="Number_of_Payments___4_3_1">MATCH(0.01,End_Bal_8,-1)+1</definedName>
    <definedName name="Number_of_Payments___4_4">MATCH(0.01,End_Bal,-1)+1</definedName>
    <definedName name="Number_of_Payments___4_4_1">MATCH(0.01,End_Bal_8,-1)+1</definedName>
    <definedName name="Number_of_Payments___4_5">MATCH(0.01,End_Bal,-1)+1</definedName>
    <definedName name="Number_of_Payments___4_5_1">MATCH(0.01,End_Bal_8,-1)+1</definedName>
    <definedName name="Number_of_Payments___4_7">MATCH(0.01,End_Bal,-1)+1</definedName>
    <definedName name="Number_of_Payments___4_7_1">MATCH(0.01,End_Bal_8,-1)+1</definedName>
    <definedName name="Number_of_Payments___4_8">MATCH(0.01,End_Bal_8,-1)+1</definedName>
    <definedName name="Number_of_Payments___4_9">MATCH(0.01,End_Bal,-1)+1</definedName>
    <definedName name="Number_of_Payments___4_9_1">MATCH(0.01,End_Bal_8,-1)+1</definedName>
    <definedName name="Number_of_Payments___5">MATCH(0.01,End_Bal,-1)+1</definedName>
    <definedName name="Number_of_Payments___5___0">MATCH(0.01,End_Bal,-1)+1</definedName>
    <definedName name="Number_of_Payments___5___0_1">MATCH(0.01,End_Bal,-1)+1</definedName>
    <definedName name="Number_of_Payments___5___0_1_1">MATCH(0.01,End_Bal_8,-1)+1</definedName>
    <definedName name="Number_of_Payments___5___0_10">MATCH(0.01,End_Bal,-1)+1</definedName>
    <definedName name="Number_of_Payments___5___0_10_1">MATCH(0.01,End_Bal_8,-1)+1</definedName>
    <definedName name="Number_of_Payments___5___0_11">MATCH(0.01,End_Bal,-1)+1</definedName>
    <definedName name="Number_of_Payments___5___0_11_1">MATCH(0.01,End_Bal_8,-1)+1</definedName>
    <definedName name="Number_of_Payments___5___0_12">MATCH(0.01,End_Bal,-1)+1</definedName>
    <definedName name="Number_of_Payments___5___0_12_1">MATCH(0.01,End_Bal_8,-1)+1</definedName>
    <definedName name="Number_of_Payments___5___0_13">MATCH(0.01,End_Bal,-1)+1</definedName>
    <definedName name="Number_of_Payments___5___0_13_1">MATCH(0.01,End_Bal_8,-1)+1</definedName>
    <definedName name="Number_of_Payments___5___0_2">MATCH(0.01,End_Bal,-1)+1</definedName>
    <definedName name="Number_of_Payments___5___0_2_1">MATCH(0.01,End_Bal_8,-1)+1</definedName>
    <definedName name="Number_of_Payments___5___0_3">MATCH(0.01,End_Bal,-1)+1</definedName>
    <definedName name="Number_of_Payments___5___0_3_1">MATCH(0.01,End_Bal_8,-1)+1</definedName>
    <definedName name="Number_of_Payments___5___0_4">MATCH(0.01,End_Bal,-1)+1</definedName>
    <definedName name="Number_of_Payments___5___0_4_1">MATCH(0.01,End_Bal_8,-1)+1</definedName>
    <definedName name="Number_of_Payments___5___0_5">MATCH(0.01,End_Bal,-1)+1</definedName>
    <definedName name="Number_of_Payments___5___0_5_1">MATCH(0.01,End_Bal_8,-1)+1</definedName>
    <definedName name="Number_of_Payments___5___0_7">MATCH(0.01,End_Bal,-1)+1</definedName>
    <definedName name="Number_of_Payments___5___0_7_1">MATCH(0.01,End_Bal_8,-1)+1</definedName>
    <definedName name="Number_of_Payments___5___0_8">MATCH(0.01,End_Bal_8,-1)+1</definedName>
    <definedName name="Number_of_Payments___5___0_9">MATCH(0.01,End_Bal,-1)+1</definedName>
    <definedName name="Number_of_Payments___5___0_9_1">MATCH(0.01,End_Bal_8,-1)+1</definedName>
    <definedName name="Number_of_Payments___5_1">MATCH(0.01,End_Bal,-1)+1</definedName>
    <definedName name="Number_of_Payments___5_1_1">MATCH(0.01,End_Bal_8,-1)+1</definedName>
    <definedName name="Number_of_Payments___5_10">MATCH(0.01,End_Bal,-1)+1</definedName>
    <definedName name="Number_of_Payments___5_10_1">MATCH(0.01,End_Bal_8,-1)+1</definedName>
    <definedName name="Number_of_Payments___5_11">MATCH(0.01,End_Bal,-1)+1</definedName>
    <definedName name="Number_of_Payments___5_11_1">MATCH(0.01,End_Bal_8,-1)+1</definedName>
    <definedName name="Number_of_Payments___5_12">MATCH(0.01,End_Bal,-1)+1</definedName>
    <definedName name="Number_of_Payments___5_12_1">MATCH(0.01,End_Bal_8,-1)+1</definedName>
    <definedName name="Number_of_Payments___5_13">MATCH(0.01,End_Bal,-1)+1</definedName>
    <definedName name="Number_of_Payments___5_13_1">MATCH(0.01,End_Bal_8,-1)+1</definedName>
    <definedName name="Number_of_Payments___5_2">MATCH(0.01,End_Bal,-1)+1</definedName>
    <definedName name="Number_of_Payments___5_2_1">MATCH(0.01,End_Bal_8,-1)+1</definedName>
    <definedName name="Number_of_Payments___5_3">MATCH(0.01,End_Bal,-1)+1</definedName>
    <definedName name="Number_of_Payments___5_3_1">MATCH(0.01,End_Bal_8,-1)+1</definedName>
    <definedName name="Number_of_Payments___5_4">MATCH(0.01,End_Bal,-1)+1</definedName>
    <definedName name="Number_of_Payments___5_4_1">MATCH(0.01,End_Bal_8,-1)+1</definedName>
    <definedName name="Number_of_Payments___5_5">MATCH(0.01,End_Bal,-1)+1</definedName>
    <definedName name="Number_of_Payments___5_5_1">MATCH(0.01,End_Bal_8,-1)+1</definedName>
    <definedName name="Number_of_Payments___5_7">MATCH(0.01,End_Bal,-1)+1</definedName>
    <definedName name="Number_of_Payments___5_7_1">MATCH(0.01,End_Bal_8,-1)+1</definedName>
    <definedName name="Number_of_Payments___5_8">MATCH(0.01,End_Bal_8,-1)+1</definedName>
    <definedName name="Number_of_Payments___5_9">MATCH(0.01,End_Bal,-1)+1</definedName>
    <definedName name="Number_of_Payments___5_9_1">MATCH(0.01,End_Bal_8,-1)+1</definedName>
    <definedName name="Number_of_Payments___6">#N/A</definedName>
    <definedName name="Number_of_Payments___7">#N/A</definedName>
    <definedName name="Number_of_Payments___8">#N/A</definedName>
    <definedName name="Number_of_Payments___9">#N/A</definedName>
    <definedName name="Number_of_Payments_1">MATCH(0.01,End_Bal,-1)+1</definedName>
    <definedName name="Number_of_Payments_1_1">MATCH(0.01,End_Bal_8,-1)+1</definedName>
    <definedName name="Number_of_Payments_10">MATCH(0.01,End_Bal,-1)+1</definedName>
    <definedName name="Number_of_Payments_10_1">MATCH(0.01,End_Bal_8,-1)+1</definedName>
    <definedName name="Number_of_Payments_11">MATCH(0.01,End_Bal,-1)+1</definedName>
    <definedName name="Number_of_Payments_11_1">MATCH(0.01,End_Bal_8,-1)+1</definedName>
    <definedName name="Number_of_Payments_12">MATCH(0.01,End_Bal,-1)+1</definedName>
    <definedName name="Number_of_Payments_12_1">MATCH(0.01,End_Bal_8,-1)+1</definedName>
    <definedName name="Number_of_Payments_13">MATCH(0.01,End_Bal,-1)+1</definedName>
    <definedName name="Number_of_Payments_13_1">MATCH(0.01,End_Bal_8,-1)+1</definedName>
    <definedName name="Number_of_Payments_2">MATCH(0.01,End_Bal,-1)+1</definedName>
    <definedName name="Number_of_Payments_2_1">MATCH(0.01,End_Bal_8,-1)+1</definedName>
    <definedName name="Number_of_Payments_3">MATCH(0.01,End_Bal,-1)+1</definedName>
    <definedName name="Number_of_Payments_3_1">MATCH(0.01,End_Bal_8,-1)+1</definedName>
    <definedName name="Number_of_Payments_4">MATCH(0.01,End_Bal,-1)+1</definedName>
    <definedName name="Number_of_Payments_4_1">MATCH(0.01,End_Bal_8,-1)+1</definedName>
    <definedName name="Number_of_Payments_5">MATCH(0.01,End_Bal,-1)+1</definedName>
    <definedName name="Number_of_Payments_5_1">MATCH(0.01,End_Bal_8,-1)+1</definedName>
    <definedName name="Number_of_Payments_7">MATCH(0.01,End_Bal,-1)+1</definedName>
    <definedName name="Number_of_Payments_7_1">MATCH(0.01,End_Bal_8,-1)+1</definedName>
    <definedName name="Number_of_Payments_8">MATCH(0.01,End_Bal_8,-1)+1</definedName>
    <definedName name="Number_of_Payments_9">MATCH(0.01,End_Bal,-1)+1</definedName>
    <definedName name="Number_of_Payments_9_1">MATCH(0.01,End_Bal_8,-1)+1</definedName>
    <definedName name="NYA1C">#REF!</definedName>
    <definedName name="NYM2C">#REF!</definedName>
    <definedName name="NYY">#REF!</definedName>
    <definedName name="O">#REF!</definedName>
    <definedName name="ODH" hidden="1">#REF!</definedName>
    <definedName name="oililui" hidden="1">{#N/A,#N/A,FALSE,"CCTV"}</definedName>
    <definedName name="old">#REF!</definedName>
    <definedName name="olf" hidden="1">{#N/A,#N/A,FALSE,"HO Rates";#N/A,#N/A,FALSE,"HO Sum"}</definedName>
    <definedName name="olp" hidden="1">{#N/A,#N/A,TRUE,"SUM";#N/A,#N/A,TRUE,"EE";#N/A,#N/A,TRUE,"AC";#N/A,#N/A,TRUE,"SN"}</definedName>
    <definedName name="oo" hidden="1">{#N/A,#N/A,TRUE,"SUM";#N/A,#N/A,TRUE,"EE";#N/A,#N/A,TRUE,"AC";#N/A,#N/A,TRUE,"SN"}</definedName>
    <definedName name="OOOO" hidden="1">{#N/A,#N/A,TRUE,"SUM";#N/A,#N/A,TRUE,"EE";#N/A,#N/A,TRUE,"AC";#N/A,#N/A,TRUE,"SN"}</definedName>
    <definedName name="ooooo" hidden="1">#REF!</definedName>
    <definedName name="op">#REF!</definedName>
    <definedName name="or" hidden="1">{#N/A,#N/A,TRUE,"SUM";#N/A,#N/A,TRUE,"EE";#N/A,#N/A,TRUE,"AC";#N/A,#N/A,TRUE,"SN"}</definedName>
    <definedName name="OTHER_LAB">#REF!</definedName>
    <definedName name="OTHER_MAT">#REF!</definedName>
    <definedName name="Out">#REF!</definedName>
    <definedName name="outflow">#REF!</definedName>
    <definedName name="OWARI">#REF!</definedName>
    <definedName name="p" hidden="1">{"SUM",#N/A,FALSE,"summary";"BOOK11-1",#N/A,FALSE,"1CityGarden";"BOOK11-2",#N/A,FALSE,"2CountryGarden";"BOOK11-3",#N/A,FALSE,"3JUNGLE";"BOOK11-4CIVIL",#N/A,FALSE,"CIVIL"}</definedName>
    <definedName name="p_d">#REF!</definedName>
    <definedName name="p_d1">#REF!</definedName>
    <definedName name="P0">#REF!</definedName>
    <definedName name="PA">#REF!</definedName>
    <definedName name="PAIN">#REF!</definedName>
    <definedName name="Paint">#REF!</definedName>
    <definedName name="Painting">#REF!</definedName>
    <definedName name="Panel" hidden="1">{#N/A,#N/A,TRUE,"SUM";#N/A,#N/A,TRUE,"EE";#N/A,#N/A,TRUE,"AC";#N/A,#N/A,TRUE,"SN"}</definedName>
    <definedName name="PART">#REF!</definedName>
    <definedName name="Pay_Date">#REF!</definedName>
    <definedName name="Pay_Date_8">#REF!</definedName>
    <definedName name="Pay_Num">#REF!</definedName>
    <definedName name="Pay_Num_8">#REF!</definedName>
    <definedName name="Payment_Date">NA()</definedName>
    <definedName name="Payment_Date___0">NA()</definedName>
    <definedName name="Payment_Date___0___0">NA()</definedName>
    <definedName name="Payment_Date___0___6">NA()</definedName>
    <definedName name="Payment_Date___10">#N/A</definedName>
    <definedName name="Payment_Date___2">#N/A</definedName>
    <definedName name="Payment_Date___3">NA()</definedName>
    <definedName name="Payment_Date___3___0">NA()</definedName>
    <definedName name="Payment_Date___4">NA()</definedName>
    <definedName name="Payment_Date___4___0">NA()</definedName>
    <definedName name="Payment_Date___5">NA()</definedName>
    <definedName name="Payment_Date___5___0">NA()</definedName>
    <definedName name="Payment_Date___6">#N/A</definedName>
    <definedName name="Payment_Date___7">#N/A</definedName>
    <definedName name="Payment_Date___8">#N/A</definedName>
    <definedName name="Payment_Date___9">#N/A</definedName>
    <definedName name="PBCS_AC_LAB">#REF!</definedName>
    <definedName name="PBCS_AC_MAT">#REF!</definedName>
    <definedName name="PBCS_FP_LAB">#REF!</definedName>
    <definedName name="PBCS_FP_MAT">#REF!</definedName>
    <definedName name="PBCS_LAB_1">#REF!</definedName>
    <definedName name="PBCS_MAT_1">#REF!</definedName>
    <definedName name="PBCS_SN_LAB">#REF!</definedName>
    <definedName name="PBCS_SN_MAT">#REF!</definedName>
    <definedName name="PBX">#REF!</definedName>
    <definedName name="PBY">#REF!</definedName>
    <definedName name="PE_LAB">#REF!</definedName>
    <definedName name="PE_MAT">#REF!</definedName>
    <definedName name="PF_S">#REF!</definedName>
    <definedName name="pff" hidden="1">{#N/A,#N/A,TRUE,"SUM";#N/A,#N/A,TRUE,"EE";#N/A,#N/A,TRUE,"AC";#N/A,#N/A,TRUE,"SN"}</definedName>
    <definedName name="PG">#REF!</definedName>
    <definedName name="pha.Bill._OF._.QTY." hidden="1">{#N/A,#N/A,TRUE,"Str.";#N/A,#N/A,TRUE,"Steel &amp; Roof";#N/A,#N/A,TRUE,"Arc.";#N/A,#N/A,TRUE,"Preliminary";#N/A,#N/A,TRUE,"Sum_Prelim"}</definedName>
    <definedName name="PIC">NA()</definedName>
    <definedName name="PIL">#REF!</definedName>
    <definedName name="Pile">#REF!</definedName>
    <definedName name="Piling">#REF!</definedName>
    <definedName name="Pilings" hidden="1">{#N/A,#N/A,FALSE,"Clients Office";#N/A,#N/A,FALSE,"Co Sum"}</definedName>
    <definedName name="PIP">#REF!</definedName>
    <definedName name="PIPE">#REF!</definedName>
    <definedName name="Pipe_BSP_GRA">#REF!</definedName>
    <definedName name="Pipe_BSP_GRB">#REF!</definedName>
    <definedName name="Pipe_BSP_Seamless">#REF!</definedName>
    <definedName name="Pipe_GSP">#REF!</definedName>
    <definedName name="pl" hidden="1">{"PLANT BREAKUP",#N/A,FALSE,"E"}</definedName>
    <definedName name="Plaster">#REF!</definedName>
    <definedName name="Plastering">#REF!</definedName>
    <definedName name="platform1" hidden="1">{#N/A,#N/A,FALSE,"Clients Office";#N/A,#N/A,FALSE,"Co Sum"}</definedName>
    <definedName name="Platform2" hidden="1">{#N/A,#N/A,FALSE,"HO Rates";#N/A,#N/A,FALSE,"HO Sum"}</definedName>
    <definedName name="Plint">#REF!</definedName>
    <definedName name="pllatformm" hidden="1">{#N/A,#N/A,FALSE,"HO Rates";#N/A,#N/A,FALSE,"HO Sum"}</definedName>
    <definedName name="PLP">#REF!</definedName>
    <definedName name="po" hidden="1">#REF!</definedName>
    <definedName name="poiiuyytt" hidden="1">{#N/A,#N/A,FALSE,"Clients Office";#N/A,#N/A,FALSE,"Co Sum"}</definedName>
    <definedName name="PONG" hidden="1">{#N/A,#N/A,TRUE,"Str.";#N/A,#N/A,TRUE,"Steel &amp; Roof";#N/A,#N/A,TRUE,"Arc.";#N/A,#N/A,TRUE,"Preliminary";#N/A,#N/A,TRUE,"Sum_Prelim"}</definedName>
    <definedName name="pooiuuyytt" hidden="1">{"SUM",#N/A,FALSE,"summary";"BOOK11-1",#N/A,FALSE,"1CityGarden";"BOOK11-2",#N/A,FALSE,"2CountryGarden";"BOOK11-3",#N/A,FALSE,"3JUNGLE";"BOOK11-4CIVIL",#N/A,FALSE,"CIVIL"}</definedName>
    <definedName name="pp" hidden="1">{"'SUMMATION'!$B$2:$I$2"}</definedName>
    <definedName name="ppp" hidden="1">{"conso",#N/A,FALSE,"cash flow"}</definedName>
    <definedName name="ppppp" hidden="1">{"hilight2",#N/A,FALSE,"HILIGHT2"}</definedName>
    <definedName name="PR">#REF!</definedName>
    <definedName name="prasert" hidden="1">{#N/A,#N/A,TRUE,"SUM";#N/A,#N/A,TRUE,"EE";#N/A,#N/A,TRUE,"AC";#N/A,#N/A,TRUE,"SN"}</definedName>
    <definedName name="PRE_LAB">#REF!</definedName>
    <definedName name="PRE_MAT">#REF!</definedName>
    <definedName name="Preliminary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nc">#REF!</definedName>
    <definedName name="Princ_8">#REF!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4">#REF!</definedName>
    <definedName name="Print_Area_MI_3">#REF!</definedName>
    <definedName name="Print_Area_Reset">OFFSET(Full_Print,0,0,Last_Row)</definedName>
    <definedName name="Print_Area_Reset___0">OFFSET(Full_Print,0,0,Last_Row___0)</definedName>
    <definedName name="Print_Area_Reset___0___0">OFFSET(Full_Print,0,0,Last_Row___0___0)</definedName>
    <definedName name="Print_Area_Reset___0___0_1">OFFSET(Full_Print,0,0,Last_Row___0___0)</definedName>
    <definedName name="Print_Area_Reset___0___0_1_1">OFFSET(Full_Print,0,0,Last_Row___0___0)</definedName>
    <definedName name="Print_Area_Reset___0___0_10">OFFSET(Full_Print,0,0,Last_Row___0___0)</definedName>
    <definedName name="Print_Area_Reset___0___0_10_1">OFFSET(Full_Print,0,0,Last_Row___0___0)</definedName>
    <definedName name="Print_Area_Reset___0___0_11">OFFSET(Full_Print,0,0,Last_Row___0___0)</definedName>
    <definedName name="Print_Area_Reset___0___0_11_1">OFFSET(Full_Print,0,0,Last_Row___0___0)</definedName>
    <definedName name="Print_Area_Reset___0___0_12">OFFSET(Full_Print,0,0,Last_Row___0___0)</definedName>
    <definedName name="Print_Area_Reset___0___0_12_1">OFFSET(Full_Print,0,0,Last_Row___0___0)</definedName>
    <definedName name="Print_Area_Reset___0___0_13">OFFSET(Full_Print,0,0,Last_Row___0___0)</definedName>
    <definedName name="Print_Area_Reset___0___0_13_1">OFFSET(Full_Print,0,0,Last_Row___0___0)</definedName>
    <definedName name="Print_Area_Reset___0___0_2">OFFSET(Full_Print,0,0,Last_Row___0___0)</definedName>
    <definedName name="Print_Area_Reset___0___0_2_1">OFFSET(Full_Print,0,0,Last_Row___0___0)</definedName>
    <definedName name="Print_Area_Reset___0___0_3">OFFSET(Full_Print,0,0,Last_Row___0___0)</definedName>
    <definedName name="Print_Area_Reset___0___0_3_1">OFFSET(Full_Print,0,0,Last_Row___0___0)</definedName>
    <definedName name="Print_Area_Reset___0___0_4">OFFSET(Full_Print,0,0,Last_Row___0___0)</definedName>
    <definedName name="Print_Area_Reset___0___0_4_1">OFFSET(Full_Print,0,0,Last_Row___0___0)</definedName>
    <definedName name="Print_Area_Reset___0___0_5">OFFSET(Full_Print,0,0,Last_Row___0___0)</definedName>
    <definedName name="Print_Area_Reset___0___0_5_1">OFFSET(Full_Print,0,0,Last_Row___0___0)</definedName>
    <definedName name="Print_Area_Reset___0___0_7">OFFSET(Full_Print,0,0,Last_Row___0___0)</definedName>
    <definedName name="Print_Area_Reset___0___0_7_1">OFFSET(Full_Print,0,0,Last_Row___0___0)</definedName>
    <definedName name="Print_Area_Reset___0___0_8">OFFSET(Full_Print,0,0,Last_Row___0___0)</definedName>
    <definedName name="Print_Area_Reset___0___0_9">OFFSET(Full_Print,0,0,Last_Row___0___0)</definedName>
    <definedName name="Print_Area_Reset___0___0_9_1">OFFSET(Full_Print,0,0,Last_Row___0___0)</definedName>
    <definedName name="Print_Area_Reset___0___6">OFFSET(Full_Print,0,0,Last_Row___0___6)</definedName>
    <definedName name="Print_Area_Reset___0___6_1">OFFSET(Full_Print,0,0,Last_Row___0___6)</definedName>
    <definedName name="Print_Area_Reset___0___6_1_1">OFFSET(Full_Print,0,0,Last_Row___0___6)</definedName>
    <definedName name="Print_Area_Reset___0___6_10">OFFSET(Full_Print,0,0,Last_Row___0___6)</definedName>
    <definedName name="Print_Area_Reset___0___6_10_1">OFFSET(Full_Print,0,0,Last_Row___0___6)</definedName>
    <definedName name="Print_Area_Reset___0___6_11">OFFSET(Full_Print,0,0,Last_Row___0___6)</definedName>
    <definedName name="Print_Area_Reset___0___6_11_1">OFFSET(Full_Print,0,0,Last_Row___0___6)</definedName>
    <definedName name="Print_Area_Reset___0___6_12">OFFSET(Full_Print,0,0,Last_Row___0___6)</definedName>
    <definedName name="Print_Area_Reset___0___6_12_1">OFFSET(Full_Print,0,0,Last_Row___0___6)</definedName>
    <definedName name="Print_Area_Reset___0___6_13">OFFSET(Full_Print,0,0,Last_Row___0___6)</definedName>
    <definedName name="Print_Area_Reset___0___6_13_1">OFFSET(Full_Print,0,0,Last_Row___0___6)</definedName>
    <definedName name="Print_Area_Reset___0___6_2">OFFSET(Full_Print,0,0,Last_Row___0___6)</definedName>
    <definedName name="Print_Area_Reset___0___6_2_1">OFFSET(Full_Print,0,0,Last_Row___0___6)</definedName>
    <definedName name="Print_Area_Reset___0___6_3">OFFSET(Full_Print,0,0,Last_Row___0___6)</definedName>
    <definedName name="Print_Area_Reset___0___6_3_1">OFFSET(Full_Print,0,0,Last_Row___0___6)</definedName>
    <definedName name="Print_Area_Reset___0___6_4">OFFSET(Full_Print,0,0,Last_Row___0___6)</definedName>
    <definedName name="Print_Area_Reset___0___6_4_1">OFFSET(Full_Print,0,0,Last_Row___0___6)</definedName>
    <definedName name="Print_Area_Reset___0___6_5">OFFSET(Full_Print,0,0,Last_Row___0___6)</definedName>
    <definedName name="Print_Area_Reset___0___6_5_1">OFFSET(Full_Print,0,0,Last_Row___0___6)</definedName>
    <definedName name="Print_Area_Reset___0___6_7">OFFSET(Full_Print,0,0,Last_Row___0___6)</definedName>
    <definedName name="Print_Area_Reset___0___6_7_1">OFFSET(Full_Print,0,0,Last_Row___0___6)</definedName>
    <definedName name="Print_Area_Reset___0___6_8">OFFSET(Full_Print,0,0,Last_Row___0___6)</definedName>
    <definedName name="Print_Area_Reset___0___6_9">OFFSET(Full_Print,0,0,Last_Row___0___6)</definedName>
    <definedName name="Print_Area_Reset___0___6_9_1">OFFSET(Full_Print,0,0,Last_Row___0___6)</definedName>
    <definedName name="Print_Area_Reset___0_1">OFFSET(Full_Print,0,0,Last_Row___0)</definedName>
    <definedName name="Print_Area_Reset___0_1_1">OFFSET(Full_Print,0,0,Last_Row___0)</definedName>
    <definedName name="Print_Area_Reset___0_10">OFFSET(Full_Print,0,0,Last_Row___0)</definedName>
    <definedName name="Print_Area_Reset___0_10_1">OFFSET(Full_Print,0,0,Last_Row___0)</definedName>
    <definedName name="Print_Area_Reset___0_11">OFFSET(Full_Print,0,0,Last_Row___0)</definedName>
    <definedName name="Print_Area_Reset___0_11_1">OFFSET(Full_Print,0,0,Last_Row___0)</definedName>
    <definedName name="Print_Area_Reset___0_12">OFFSET(Full_Print,0,0,Last_Row___0)</definedName>
    <definedName name="Print_Area_Reset___0_12_1">OFFSET(Full_Print,0,0,Last_Row___0)</definedName>
    <definedName name="Print_Area_Reset___0_13">OFFSET(Full_Print,0,0,Last_Row___0)</definedName>
    <definedName name="Print_Area_Reset___0_13_1">OFFSET(Full_Print,0,0,Last_Row___0)</definedName>
    <definedName name="Print_Area_Reset___0_2">OFFSET(Full_Print,0,0,Last_Row___0)</definedName>
    <definedName name="Print_Area_Reset___0_2_1">OFFSET(Full_Print,0,0,Last_Row___0)</definedName>
    <definedName name="Print_Area_Reset___0_3">OFFSET(Full_Print,0,0,Last_Row___0)</definedName>
    <definedName name="Print_Area_Reset___0_3_1">OFFSET(Full_Print,0,0,Last_Row___0)</definedName>
    <definedName name="Print_Area_Reset___0_4">OFFSET(Full_Print,0,0,Last_Row___0)</definedName>
    <definedName name="Print_Area_Reset___0_4_1">OFFSET(Full_Print,0,0,Last_Row___0)</definedName>
    <definedName name="Print_Area_Reset___0_5">OFFSET(Full_Print,0,0,Last_Row___0)</definedName>
    <definedName name="Print_Area_Reset___0_5_1">OFFSET(Full_Print,0,0,Last_Row___0)</definedName>
    <definedName name="Print_Area_Reset___0_7">OFFSET(Full_Print,0,0,Last_Row___0)</definedName>
    <definedName name="Print_Area_Reset___0_7_1">OFFSET(Full_Print,0,0,Last_Row___0)</definedName>
    <definedName name="Print_Area_Reset___0_8">OFFSET(Full_Print,0,0,Last_Row___0)</definedName>
    <definedName name="Print_Area_Reset___0_9">OFFSET(Full_Print,0,0,Last_Row___0)</definedName>
    <definedName name="Print_Area_Reset___0_9_1">OFFSET(Full_Print,0,0,Last_Row___0)</definedName>
    <definedName name="Print_Area_Reset___10">#N/A</definedName>
    <definedName name="Print_Area_Reset___2">#N/A</definedName>
    <definedName name="Print_Area_Reset___3">OFFSET(Full_Print,0,0,Last_Row___3)</definedName>
    <definedName name="Print_Area_Reset___3___0">OFFSET(Full_Print,0,0,Last_Row___3___0)</definedName>
    <definedName name="Print_Area_Reset___3___0_1">OFFSET(Full_Print,0,0,Last_Row___3___0)</definedName>
    <definedName name="Print_Area_Reset___3___0_1_1">OFFSET(Full_Print,0,0,Last_Row___3___0)</definedName>
    <definedName name="Print_Area_Reset___3___0_10">OFFSET(Full_Print,0,0,Last_Row___3___0)</definedName>
    <definedName name="Print_Area_Reset___3___0_10_1">OFFSET(Full_Print,0,0,Last_Row___3___0)</definedName>
    <definedName name="Print_Area_Reset___3___0_11">OFFSET(Full_Print,0,0,Last_Row___3___0)</definedName>
    <definedName name="Print_Area_Reset___3___0_11_1">OFFSET(Full_Print,0,0,Last_Row___3___0)</definedName>
    <definedName name="Print_Area_Reset___3___0_12">OFFSET(Full_Print,0,0,Last_Row___3___0)</definedName>
    <definedName name="Print_Area_Reset___3___0_12_1">OFFSET(Full_Print,0,0,Last_Row___3___0)</definedName>
    <definedName name="Print_Area_Reset___3___0_13">OFFSET(Full_Print,0,0,Last_Row___3___0)</definedName>
    <definedName name="Print_Area_Reset___3___0_13_1">OFFSET(Full_Print,0,0,Last_Row___3___0)</definedName>
    <definedName name="Print_Area_Reset___3___0_2">OFFSET(Full_Print,0,0,Last_Row___3___0)</definedName>
    <definedName name="Print_Area_Reset___3___0_2_1">OFFSET(Full_Print,0,0,Last_Row___3___0)</definedName>
    <definedName name="Print_Area_Reset___3___0_3">OFFSET(Full_Print,0,0,Last_Row___3___0)</definedName>
    <definedName name="Print_Area_Reset___3___0_3_1">OFFSET(Full_Print,0,0,Last_Row___3___0)</definedName>
    <definedName name="Print_Area_Reset___3___0_4">OFFSET(Full_Print,0,0,Last_Row___3___0)</definedName>
    <definedName name="Print_Area_Reset___3___0_4_1">OFFSET(Full_Print,0,0,Last_Row___3___0)</definedName>
    <definedName name="Print_Area_Reset___3___0_5">OFFSET(Full_Print,0,0,Last_Row___3___0)</definedName>
    <definedName name="Print_Area_Reset___3___0_5_1">OFFSET(Full_Print,0,0,Last_Row___3___0)</definedName>
    <definedName name="Print_Area_Reset___3___0_7">OFFSET(Full_Print,0,0,Last_Row___3___0)</definedName>
    <definedName name="Print_Area_Reset___3___0_7_1">OFFSET(Full_Print,0,0,Last_Row___3___0)</definedName>
    <definedName name="Print_Area_Reset___3___0_8">OFFSET(Full_Print,0,0,Last_Row___3___0)</definedName>
    <definedName name="Print_Area_Reset___3___0_9">OFFSET(Full_Print,0,0,Last_Row___3___0)</definedName>
    <definedName name="Print_Area_Reset___3___0_9_1">OFFSET(Full_Print,0,0,Last_Row___3___0)</definedName>
    <definedName name="Print_Area_Reset___3_1">OFFSET(Full_Print,0,0,Last_Row___3)</definedName>
    <definedName name="Print_Area_Reset___3_1_1">OFFSET(Full_Print,0,0,Last_Row___3)</definedName>
    <definedName name="Print_Area_Reset___3_10">OFFSET(Full_Print,0,0,Last_Row___3)</definedName>
    <definedName name="Print_Area_Reset___3_10_1">OFFSET(Full_Print,0,0,Last_Row___3)</definedName>
    <definedName name="Print_Area_Reset___3_11">OFFSET(Full_Print,0,0,Last_Row___3)</definedName>
    <definedName name="Print_Area_Reset___3_11_1">OFFSET(Full_Print,0,0,Last_Row___3)</definedName>
    <definedName name="Print_Area_Reset___3_12">OFFSET(Full_Print,0,0,Last_Row___3)</definedName>
    <definedName name="Print_Area_Reset___3_12_1">OFFSET(Full_Print,0,0,Last_Row___3)</definedName>
    <definedName name="Print_Area_Reset___3_13">OFFSET(Full_Print,0,0,Last_Row___3)</definedName>
    <definedName name="Print_Area_Reset___3_13_1">OFFSET(Full_Print,0,0,Last_Row___3)</definedName>
    <definedName name="Print_Area_Reset___3_2">OFFSET(Full_Print,0,0,Last_Row___3)</definedName>
    <definedName name="Print_Area_Reset___3_2_1">OFFSET(Full_Print,0,0,Last_Row___3)</definedName>
    <definedName name="Print_Area_Reset___3_3">OFFSET(Full_Print,0,0,Last_Row___3)</definedName>
    <definedName name="Print_Area_Reset___3_3_1">OFFSET(Full_Print,0,0,Last_Row___3)</definedName>
    <definedName name="Print_Area_Reset___3_4">OFFSET(Full_Print,0,0,Last_Row___3)</definedName>
    <definedName name="Print_Area_Reset___3_4_1">OFFSET(Full_Print,0,0,Last_Row___3)</definedName>
    <definedName name="Print_Area_Reset___3_5">OFFSET(Full_Print,0,0,Last_Row___3)</definedName>
    <definedName name="Print_Area_Reset___3_5_1">OFFSET(Full_Print,0,0,Last_Row___3)</definedName>
    <definedName name="Print_Area_Reset___3_7">OFFSET(Full_Print,0,0,Last_Row___3)</definedName>
    <definedName name="Print_Area_Reset___3_7_1">OFFSET(Full_Print,0,0,Last_Row___3)</definedName>
    <definedName name="Print_Area_Reset___3_8">OFFSET(Full_Print,0,0,Last_Row___3)</definedName>
    <definedName name="Print_Area_Reset___3_9">OFFSET(Full_Print,0,0,Last_Row___3)</definedName>
    <definedName name="Print_Area_Reset___3_9_1">OFFSET(Full_Print,0,0,Last_Row___3)</definedName>
    <definedName name="Print_Area_Reset___4">OFFSET(Full_Print,0,0,Last_Row___4)</definedName>
    <definedName name="Print_Area_Reset___4___0">OFFSET(Full_Print,0,0,Last_Row___4___0)</definedName>
    <definedName name="Print_Area_Reset___4___0_1">OFFSET(Full_Print,0,0,Last_Row___4___0)</definedName>
    <definedName name="Print_Area_Reset___4___0_1_1">OFFSET(Full_Print,0,0,Last_Row___4___0)</definedName>
    <definedName name="Print_Area_Reset___4___0_10">OFFSET(Full_Print,0,0,Last_Row___4___0)</definedName>
    <definedName name="Print_Area_Reset___4___0_10_1">OFFSET(Full_Print,0,0,Last_Row___4___0)</definedName>
    <definedName name="Print_Area_Reset___4___0_11">OFFSET(Full_Print,0,0,Last_Row___4___0)</definedName>
    <definedName name="Print_Area_Reset___4___0_11_1">OFFSET(Full_Print,0,0,Last_Row___4___0)</definedName>
    <definedName name="Print_Area_Reset___4___0_12">OFFSET(Full_Print,0,0,Last_Row___4___0)</definedName>
    <definedName name="Print_Area_Reset___4___0_12_1">OFFSET(Full_Print,0,0,Last_Row___4___0)</definedName>
    <definedName name="Print_Area_Reset___4___0_13">OFFSET(Full_Print,0,0,Last_Row___4___0)</definedName>
    <definedName name="Print_Area_Reset___4___0_13_1">OFFSET(Full_Print,0,0,Last_Row___4___0)</definedName>
    <definedName name="Print_Area_Reset___4___0_2">OFFSET(Full_Print,0,0,Last_Row___4___0)</definedName>
    <definedName name="Print_Area_Reset___4___0_2_1">OFFSET(Full_Print,0,0,Last_Row___4___0)</definedName>
    <definedName name="Print_Area_Reset___4___0_3">OFFSET(Full_Print,0,0,Last_Row___4___0)</definedName>
    <definedName name="Print_Area_Reset___4___0_3_1">OFFSET(Full_Print,0,0,Last_Row___4___0)</definedName>
    <definedName name="Print_Area_Reset___4___0_4">OFFSET(Full_Print,0,0,Last_Row___4___0)</definedName>
    <definedName name="Print_Area_Reset___4___0_4_1">OFFSET(Full_Print,0,0,Last_Row___4___0)</definedName>
    <definedName name="Print_Area_Reset___4___0_5">OFFSET(Full_Print,0,0,Last_Row___4___0)</definedName>
    <definedName name="Print_Area_Reset___4___0_5_1">OFFSET(Full_Print,0,0,Last_Row___4___0)</definedName>
    <definedName name="Print_Area_Reset___4___0_7">OFFSET(Full_Print,0,0,Last_Row___4___0)</definedName>
    <definedName name="Print_Area_Reset___4___0_7_1">OFFSET(Full_Print,0,0,Last_Row___4___0)</definedName>
    <definedName name="Print_Area_Reset___4___0_8">OFFSET(Full_Print,0,0,Last_Row___4___0)</definedName>
    <definedName name="Print_Area_Reset___4___0_9">OFFSET(Full_Print,0,0,Last_Row___4___0)</definedName>
    <definedName name="Print_Area_Reset___4___0_9_1">OFFSET(Full_Print,0,0,Last_Row___4___0)</definedName>
    <definedName name="Print_Area_Reset___4_1">OFFSET(Full_Print,0,0,Last_Row___4)</definedName>
    <definedName name="Print_Area_Reset___4_1_1">OFFSET(Full_Print,0,0,Last_Row___4)</definedName>
    <definedName name="Print_Area_Reset___4_10">OFFSET(Full_Print,0,0,Last_Row___4)</definedName>
    <definedName name="Print_Area_Reset___4_10_1">OFFSET(Full_Print,0,0,Last_Row___4)</definedName>
    <definedName name="Print_Area_Reset___4_11">OFFSET(Full_Print,0,0,Last_Row___4)</definedName>
    <definedName name="Print_Area_Reset___4_11_1">OFFSET(Full_Print,0,0,Last_Row___4)</definedName>
    <definedName name="Print_Area_Reset___4_12">OFFSET(Full_Print,0,0,Last_Row___4)</definedName>
    <definedName name="Print_Area_Reset___4_12_1">OFFSET(Full_Print,0,0,Last_Row___4)</definedName>
    <definedName name="Print_Area_Reset___4_13">OFFSET(Full_Print,0,0,Last_Row___4)</definedName>
    <definedName name="Print_Area_Reset___4_13_1">OFFSET(Full_Print,0,0,Last_Row___4)</definedName>
    <definedName name="Print_Area_Reset___4_2">OFFSET(Full_Print,0,0,Last_Row___4)</definedName>
    <definedName name="Print_Area_Reset___4_2_1">OFFSET(Full_Print,0,0,Last_Row___4)</definedName>
    <definedName name="Print_Area_Reset___4_3">OFFSET(Full_Print,0,0,Last_Row___4)</definedName>
    <definedName name="Print_Area_Reset___4_3_1">OFFSET(Full_Print,0,0,Last_Row___4)</definedName>
    <definedName name="Print_Area_Reset___4_4">OFFSET(Full_Print,0,0,Last_Row___4)</definedName>
    <definedName name="Print_Area_Reset___4_4_1">OFFSET(Full_Print,0,0,Last_Row___4)</definedName>
    <definedName name="Print_Area_Reset___4_5">OFFSET(Full_Print,0,0,Last_Row___4)</definedName>
    <definedName name="Print_Area_Reset___4_5_1">OFFSET(Full_Print,0,0,Last_Row___4)</definedName>
    <definedName name="Print_Area_Reset___4_7">OFFSET(Full_Print,0,0,Last_Row___4)</definedName>
    <definedName name="Print_Area_Reset___4_7_1">OFFSET(Full_Print,0,0,Last_Row___4)</definedName>
    <definedName name="Print_Area_Reset___4_8">OFFSET(Full_Print,0,0,Last_Row___4)</definedName>
    <definedName name="Print_Area_Reset___4_9">OFFSET(Full_Print,0,0,Last_Row___4)</definedName>
    <definedName name="Print_Area_Reset___4_9_1">OFFSET(Full_Print,0,0,Last_Row___4)</definedName>
    <definedName name="Print_Area_Reset___5">OFFSET(Full_Print,0,0,Last_Row___5)</definedName>
    <definedName name="Print_Area_Reset___5___0">OFFSET(Full_Print,0,0,Last_Row___5___0)</definedName>
    <definedName name="Print_Area_Reset___5___0_1">OFFSET(Full_Print,0,0,Last_Row___5___0)</definedName>
    <definedName name="Print_Area_Reset___5___0_1_1">OFFSET(Full_Print,0,0,Last_Row___5___0)</definedName>
    <definedName name="Print_Area_Reset___5___0_10">OFFSET(Full_Print,0,0,Last_Row___5___0)</definedName>
    <definedName name="Print_Area_Reset___5___0_10_1">OFFSET(Full_Print,0,0,Last_Row___5___0)</definedName>
    <definedName name="Print_Area_Reset___5___0_11">OFFSET(Full_Print,0,0,Last_Row___5___0)</definedName>
    <definedName name="Print_Area_Reset___5___0_11_1">OFFSET(Full_Print,0,0,Last_Row___5___0)</definedName>
    <definedName name="Print_Area_Reset___5___0_12">OFFSET(Full_Print,0,0,Last_Row___5___0)</definedName>
    <definedName name="Print_Area_Reset___5___0_12_1">OFFSET(Full_Print,0,0,Last_Row___5___0)</definedName>
    <definedName name="Print_Area_Reset___5___0_13">OFFSET(Full_Print,0,0,Last_Row___5___0)</definedName>
    <definedName name="Print_Area_Reset___5___0_13_1">OFFSET(Full_Print,0,0,Last_Row___5___0)</definedName>
    <definedName name="Print_Area_Reset___5___0_2">OFFSET(Full_Print,0,0,Last_Row___5___0)</definedName>
    <definedName name="Print_Area_Reset___5___0_2_1">OFFSET(Full_Print,0,0,Last_Row___5___0)</definedName>
    <definedName name="Print_Area_Reset___5___0_3">OFFSET(Full_Print,0,0,Last_Row___5___0)</definedName>
    <definedName name="Print_Area_Reset___5___0_3_1">OFFSET(Full_Print,0,0,Last_Row___5___0)</definedName>
    <definedName name="Print_Area_Reset___5___0_4">OFFSET(Full_Print,0,0,Last_Row___5___0)</definedName>
    <definedName name="Print_Area_Reset___5___0_4_1">OFFSET(Full_Print,0,0,Last_Row___5___0)</definedName>
    <definedName name="Print_Area_Reset___5___0_5">OFFSET(Full_Print,0,0,Last_Row___5___0)</definedName>
    <definedName name="Print_Area_Reset___5___0_5_1">OFFSET(Full_Print,0,0,Last_Row___5___0)</definedName>
    <definedName name="Print_Area_Reset___5___0_7">OFFSET(Full_Print,0,0,Last_Row___5___0)</definedName>
    <definedName name="Print_Area_Reset___5___0_7_1">OFFSET(Full_Print,0,0,Last_Row___5___0)</definedName>
    <definedName name="Print_Area_Reset___5___0_8">OFFSET(Full_Print,0,0,Last_Row___5___0)</definedName>
    <definedName name="Print_Area_Reset___5___0_9">OFFSET(Full_Print,0,0,Last_Row___5___0)</definedName>
    <definedName name="Print_Area_Reset___5___0_9_1">OFFSET(Full_Print,0,0,Last_Row___5___0)</definedName>
    <definedName name="Print_Area_Reset___5_1">OFFSET(Full_Print,0,0,Last_Row___5)</definedName>
    <definedName name="Print_Area_Reset___5_1_1">OFFSET(Full_Print,0,0,Last_Row___5)</definedName>
    <definedName name="Print_Area_Reset___5_10">OFFSET(Full_Print,0,0,Last_Row___5)</definedName>
    <definedName name="Print_Area_Reset___5_10_1">OFFSET(Full_Print,0,0,Last_Row___5)</definedName>
    <definedName name="Print_Area_Reset___5_11">OFFSET(Full_Print,0,0,Last_Row___5)</definedName>
    <definedName name="Print_Area_Reset___5_11_1">OFFSET(Full_Print,0,0,Last_Row___5)</definedName>
    <definedName name="Print_Area_Reset___5_12">OFFSET(Full_Print,0,0,Last_Row___5)</definedName>
    <definedName name="Print_Area_Reset___5_12_1">OFFSET(Full_Print,0,0,Last_Row___5)</definedName>
    <definedName name="Print_Area_Reset___5_13">OFFSET(Full_Print,0,0,Last_Row___5)</definedName>
    <definedName name="Print_Area_Reset___5_13_1">OFFSET(Full_Print,0,0,Last_Row___5)</definedName>
    <definedName name="Print_Area_Reset___5_2">OFFSET(Full_Print,0,0,Last_Row___5)</definedName>
    <definedName name="Print_Area_Reset___5_2_1">OFFSET(Full_Print,0,0,Last_Row___5)</definedName>
    <definedName name="Print_Area_Reset___5_3">OFFSET(Full_Print,0,0,Last_Row___5)</definedName>
    <definedName name="Print_Area_Reset___5_3_1">OFFSET(Full_Print,0,0,Last_Row___5)</definedName>
    <definedName name="Print_Area_Reset___5_4">OFFSET(Full_Print,0,0,Last_Row___5)</definedName>
    <definedName name="Print_Area_Reset___5_4_1">OFFSET(Full_Print,0,0,Last_Row___5)</definedName>
    <definedName name="Print_Area_Reset___5_5">OFFSET(Full_Print,0,0,Last_Row___5)</definedName>
    <definedName name="Print_Area_Reset___5_5_1">OFFSET(Full_Print,0,0,Last_Row___5)</definedName>
    <definedName name="Print_Area_Reset___5_7">OFFSET(Full_Print,0,0,Last_Row___5)</definedName>
    <definedName name="Print_Area_Reset___5_7_1">OFFSET(Full_Print,0,0,Last_Row___5)</definedName>
    <definedName name="Print_Area_Reset___5_8">OFFSET(Full_Print,0,0,Last_Row___5)</definedName>
    <definedName name="Print_Area_Reset___5_9">OFFSET(Full_Print,0,0,Last_Row___5)</definedName>
    <definedName name="Print_Area_Reset___5_9_1">OFFSET(Full_Print,0,0,Last_Row___5)</definedName>
    <definedName name="Print_Area_Reset___6">#N/A</definedName>
    <definedName name="Print_Area_Reset___7">#N/A</definedName>
    <definedName name="Print_Area_Reset___8">#N/A</definedName>
    <definedName name="Print_Area_Reset___9">#N/A</definedName>
    <definedName name="Print_Area_Reset_1">OFFSET(Full_Print,0,0,Last_Row)</definedName>
    <definedName name="Print_Area_Reset_1_1">OFFSET(Full_Print,0,0,Last_Row)</definedName>
    <definedName name="Print_Area_Reset_10">OFFSET(Full_Print,0,0,Last_Row)</definedName>
    <definedName name="Print_Area_Reset_10_1">OFFSET(Full_Print,0,0,Last_Row)</definedName>
    <definedName name="Print_Area_Reset_11">OFFSET(Full_Print,0,0,Last_Row)</definedName>
    <definedName name="Print_Area_Reset_11_1">OFFSET(Full_Print,0,0,Last_Row)</definedName>
    <definedName name="Print_Area_Reset_12">OFFSET(Full_Print,0,0,Last_Row)</definedName>
    <definedName name="Print_Area_Reset_12_1">OFFSET(Full_Print,0,0,Last_Row)</definedName>
    <definedName name="Print_Area_Reset_13">OFFSET(Full_Print,0,0,Last_Row)</definedName>
    <definedName name="Print_Area_Reset_13_1">OFFSET(Full_Print,0,0,Last_Row)</definedName>
    <definedName name="Print_Area_Reset_2">OFFSET(Full_Print,0,0,Last_Row)</definedName>
    <definedName name="Print_Area_Reset_2_1">OFFSET(Full_Print,0,0,Last_Row)</definedName>
    <definedName name="Print_Area_Reset_3">OFFSET(Full_Print,0,0,Last_Row)</definedName>
    <definedName name="Print_Area_Reset_3_1">OFFSET(Full_Print,0,0,Last_Row)</definedName>
    <definedName name="Print_Area_Reset_4">OFFSET(Full_Print,0,0,Last_Row)</definedName>
    <definedName name="Print_Area_Reset_4_1">OFFSET(Full_Print,0,0,Last_Row)</definedName>
    <definedName name="Print_Area_Reset_5">OFFSET(Full_Print,0,0,Last_Row)</definedName>
    <definedName name="Print_Area_Reset_5_1">OFFSET(Full_Print,0,0,Last_Row)</definedName>
    <definedName name="Print_Area_Reset_7">OFFSET(Full_Print,0,0,Last_Row)</definedName>
    <definedName name="Print_Area_Reset_7_1">OFFSET(Full_Print,0,0,Last_Row)</definedName>
    <definedName name="Print_Area_Reset_8">OFFSET(Full_Print,0,0,Last_Row)</definedName>
    <definedName name="Print_Area_Reset_9">OFFSET(Full_Print,0,0,Last_Row)</definedName>
    <definedName name="Print_Area_Reset_9_1">OFFSET(Full_Print,0,0,Last_Row)</definedName>
    <definedName name="Print_Title">#REF!</definedName>
    <definedName name="_xlnm.Print_Titles">#N/A</definedName>
    <definedName name="Print_Titles_MI">#REF!</definedName>
    <definedName name="Print_Titles_MI___4">#REF!</definedName>
    <definedName name="PRINT001A00">#REF!</definedName>
    <definedName name="PRINT001B00">#REF!</definedName>
    <definedName name="PRINT001B01">#REF!</definedName>
    <definedName name="PRINT005A00">#REF!</definedName>
    <definedName name="PRINT005A10">#REF!</definedName>
    <definedName name="PRINT005S00">#REF!</definedName>
    <definedName name="PRINT005S10">#REF!</definedName>
    <definedName name="PRINT006A00">#REF!</definedName>
    <definedName name="PRINT006S00">#REF!</definedName>
    <definedName name="PRINT007A00">#REF!</definedName>
    <definedName name="PRINT007S00">#REF!</definedName>
    <definedName name="PRINT008A00">#REF!</definedName>
    <definedName name="PRINT008S00">#REF!</definedName>
    <definedName name="PRINT009A00">#REF!</definedName>
    <definedName name="PRINT009D00">#REF!</definedName>
    <definedName name="PRINT009S00">#REF!</definedName>
    <definedName name="Profit">#REF!</definedName>
    <definedName name="Progress" hidden="1">{#N/A,#N/A,TRUE,"Str.";#N/A,#N/A,TRUE,"Steel &amp; Roof";#N/A,#N/A,TRUE,"Arc.";#N/A,#N/A,TRUE,"Preliminary";#N/A,#N/A,TRUE,"Sum_Prelim"}</definedName>
    <definedName name="Project">#REF!</definedName>
    <definedName name="PROJECT_NAME____Capsugel_Relocation_Project">#REF!</definedName>
    <definedName name="PROJECT_NAME____Capsugel_Relocation_Project___0">#REF!</definedName>
    <definedName name="ProjNo.">#REF!</definedName>
    <definedName name="Protection" hidden="1">{#N/A,#N/A,TRUE,"SUM";#N/A,#N/A,TRUE,"EE";#N/A,#N/A,TRUE,"AC";#N/A,#N/A,TRUE,"SN"}</definedName>
    <definedName name="PUP">#REF!</definedName>
    <definedName name="PVCgysum" hidden="1">{"'QuotationCRPaint (3)'!$A$12:$B$15"}</definedName>
    <definedName name="PVCgysum2" hidden="1">{"'QuotationCRPaint (3)'!$A$12:$B$15"}</definedName>
    <definedName name="Q" hidden="1">{#N/A,#N/A,TRUE,"SUM";#N/A,#N/A,TRUE,"EE";#N/A,#N/A,TRUE,"AC";#N/A,#N/A,TRUE,"SN"}</definedName>
    <definedName name="Q_P" hidden="1">{"'SUMMATION'!$B$2:$I$2"}</definedName>
    <definedName name="q_ty">#REF!</definedName>
    <definedName name="qas" hidden="1">{"'SUMMATION'!$B$2:$I$2"}</definedName>
    <definedName name="QEQe" hidden="1">{#N/A,#N/A,TRUE,"SUM";#N/A,#N/A,TRUE,"EE";#N/A,#N/A,TRUE,"AC";#N/A,#N/A,TRUE,"SN"}</definedName>
    <definedName name="qfqfea">#REF!</definedName>
    <definedName name="QQQ" hidden="1">{#N/A,#N/A,TRUE,"SUM";#N/A,#N/A,TRUE,"EE";#N/A,#N/A,TRUE,"AC";#N/A,#N/A,TRUE,"SN"}</definedName>
    <definedName name="qqqqq" hidden="1">{"cashflow",#N/A,FALSE,"cash flow"}</definedName>
    <definedName name="qrer" hidden="1">{#N/A,#N/A,TRUE,"SUM";#N/A,#N/A,TRUE,"EE";#N/A,#N/A,TRUE,"AC";#N/A,#N/A,TRUE,"SN"}</definedName>
    <definedName name="qrqr" hidden="1">{#N/A,#N/A,TRUE,"SUM";#N/A,#N/A,TRUE,"EE";#N/A,#N/A,TRUE,"AC";#N/A,#N/A,TRUE,"SN"}</definedName>
    <definedName name="qrrwetr" hidden="1">{#N/A,#N/A,TRUE,"SUM";#N/A,#N/A,TRUE,"EE";#N/A,#N/A,TRUE,"AC";#N/A,#N/A,TRUE,"SN"}</definedName>
    <definedName name="qty">#REF!</definedName>
    <definedName name="qty___0">#REF!</definedName>
    <definedName name="quant" hidden="1">{#N/A,#N/A,TRUE,"Str.";#N/A,#N/A,TRUE,"Steel &amp; Roof";#N/A,#N/A,TRUE,"Arc.";#N/A,#N/A,TRUE,"Preliminary";#N/A,#N/A,TRUE,"Sum_Prelim"}</definedName>
    <definedName name="Quant1">IF(OFFSET(#REF!,0,#REF!)="","",OFFSET(#REF!,0,#REF!))</definedName>
    <definedName name="quidewall" hidden="1">{"SUMMARY",#N/A,FALSE,"C"}</definedName>
    <definedName name="QWE" hidden="1">{"SUM",#N/A,FALSE,"summary";"BOOK11-1",#N/A,FALSE,"1CityGarden";"BOOK11-2",#N/A,FALSE,"2CountryGarden";"BOOK11-3",#N/A,FALSE,"3JUNGLE";"BOOK11-4CIVIL",#N/A,FALSE,"CIVIL"}</definedName>
    <definedName name="qweqweq" hidden="1">#REF!</definedName>
    <definedName name="qwer" hidden="1">{#N/A,#N/A,TRUE,"SUM";#N/A,#N/A,TRUE,"EE";#N/A,#N/A,TRUE,"AC";#N/A,#N/A,TRUE,"SN"}</definedName>
    <definedName name="qwert">#REF!</definedName>
    <definedName name="qwerwerwrr" hidden="1">{#N/A,#N/A,FALSE,"Clients Office";#N/A,#N/A,FALSE,"Co Sum"}</definedName>
    <definedName name="qwrr" hidden="1">{#N/A,#N/A,TRUE,"SUM";#N/A,#N/A,TRUE,"EE";#N/A,#N/A,TRUE,"AC";#N/A,#N/A,TRUE,"SN"}</definedName>
    <definedName name="qwww">#REF!</definedName>
    <definedName name="R_">#REF!</definedName>
    <definedName name="R_1">#REF!</definedName>
    <definedName name="R_UNIT">#REF!</definedName>
    <definedName name="rarewt" hidden="1">{#N/A,#N/A,FALSE,"CCTV"}</definedName>
    <definedName name="Rate">#REF!</definedName>
    <definedName name="RDD" hidden="1">{#N/A,#N/A,TRUE,"Str.";#N/A,#N/A,TRUE,"Steel &amp; Roof";#N/A,#N/A,TRUE,"Arc.";#N/A,#N/A,TRUE,"Preliminary";#N/A,#N/A,TRUE,"Sum_Prelim"}</definedName>
    <definedName name="rdry" hidden="1">{#N/A,#N/A,TRUE,"SUM";#N/A,#N/A,TRUE,"EE";#N/A,#N/A,TRUE,"AC";#N/A,#N/A,TRUE,"SN"}</definedName>
    <definedName name="RDU">#REF!</definedName>
    <definedName name="re" hidden="1">{"sales",#N/A,FALSE,"SALES"}</definedName>
    <definedName name="rec">#REF!</definedName>
    <definedName name="record">#REF!</definedName>
    <definedName name="REM_LAB">#REF!</definedName>
    <definedName name="REM_MAT">#REF!</definedName>
    <definedName name="Remain">#REF!</definedName>
    <definedName name="resource">#REF!</definedName>
    <definedName name="ResPricing">#REF!</definedName>
    <definedName name="RESULT">#REF!</definedName>
    <definedName name="RET_10">#REF!,#REF!</definedName>
    <definedName name="RET_5">#REF!,#REF!</definedName>
    <definedName name="rewrwe" hidden="1">{#N/A,#N/A,TRUE,"SUM";#N/A,#N/A,TRUE,"EE";#N/A,#N/A,TRUE,"AC";#N/A,#N/A,TRUE,"SN"}</definedName>
    <definedName name="RF" hidden="1">{#N/A,#N/A,TRUE,"Str.";#N/A,#N/A,TRUE,"Steel &amp; Roof";#N/A,#N/A,TRUE,"Arc.";#N/A,#N/A,TRUE,"Preliminary";#N/A,#N/A,TRUE,"Sum_Prelim"}</definedName>
    <definedName name="RFSL">#REF!</definedName>
    <definedName name="rg">#REF!</definedName>
    <definedName name="rgyjh" hidden="1">{#N/A,#N/A,TRUE,"SUM";#N/A,#N/A,TRUE,"EE";#N/A,#N/A,TRUE,"AC";#N/A,#N/A,TRUE,"SN"}</definedName>
    <definedName name="rid" hidden="1">{"'Sheet1'!$L$16"}</definedName>
    <definedName name="RINSU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LABO">#REF!</definedName>
    <definedName name="RMISC">#REF!</definedName>
    <definedName name="RNAME">#REF!</definedName>
    <definedName name="RNAO" hidden="1">{"'장비'!$A$3:$M$12"}</definedName>
    <definedName name="ro">#N/A</definedName>
    <definedName name="ROC" hidden="1">{"'QuotationCRPaint (3)'!$A$12:$B$15"}</definedName>
    <definedName name="Roof">#REF!</definedName>
    <definedName name="Roof_Tank">#REF!</definedName>
    <definedName name="Roofing">#REF!</definedName>
    <definedName name="Roofing_PLot_13_total">#REF!</definedName>
    <definedName name="ROUND">#REF!</definedName>
    <definedName name="ROUNDL">#REF!</definedName>
    <definedName name="ROUNDM">#REF!</definedName>
    <definedName name="RPAIN">#REF!</definedName>
    <definedName name="rr" hidden="1">#REF!</definedName>
    <definedName name="RRT" hidden="1">{#N/A,#N/A,TRUE,"SUM";#N/A,#N/A,TRUE,"EE";#N/A,#N/A,TRUE,"AC";#N/A,#N/A,TRUE,"SN"}</definedName>
    <definedName name="rrwre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e" hidden="1">{"SUM",#N/A,FALSE,"summary";"BOOK11-1",#N/A,FALSE,"1CityGarden";"BOOK11-2",#N/A,FALSE,"2CountryGarden";"BOOK11-3",#N/A,FALSE,"3JUNGLE";"BOOK11-4CIVIL",#N/A,FALSE,"CIVIL"}</definedName>
    <definedName name="RTEST">#REF!</definedName>
    <definedName name="rtf" hidden="1">{#N/A,#N/A,TRUE,"SUM";#N/A,#N/A,TRUE,"EE";#N/A,#N/A,TRUE,"AC";#N/A,#N/A,TRUE,"SN"}</definedName>
    <definedName name="rtr" hidden="1">{#N/A,#N/A,TRUE,"SUM";#N/A,#N/A,TRUE,"EE";#N/A,#N/A,TRUE,"AC";#N/A,#N/A,TRUE,"SN"}</definedName>
    <definedName name="rtret" hidden="1">{#N/A,#N/A,TRUE,"SUM";#N/A,#N/A,TRUE,"EE";#N/A,#N/A,TRUE,"AC";#N/A,#N/A,TRUE,"SN"}</definedName>
    <definedName name="rtrey" hidden="1">{#N/A,#N/A,TRUE,"SUM";#N/A,#N/A,TRUE,"EE";#N/A,#N/A,TRUE,"AC";#N/A,#N/A,TRUE,"SN"}</definedName>
    <definedName name="rtrt" hidden="1">#REF!</definedName>
    <definedName name="rty" hidden="1">{"SUM",#N/A,FALSE,"summary";"BOOK11-1",#N/A,FALSE,"1CityGarden";"BOOK11-2",#N/A,FALSE,"2CountryGarden";"BOOK11-3",#N/A,FALSE,"3JUNGLE";"BOOK11-4CIVIL",#N/A,FALSE,"CIVIL"}</definedName>
    <definedName name="rw">#REF!</definedName>
    <definedName name="s">#REF!</definedName>
    <definedName name="s___0">#REF!</definedName>
    <definedName name="sa" hidden="1">{#N/A,#N/A,TRUE,"Str.";#N/A,#N/A,TRUE,"Steel &amp; Roof";#N/A,#N/A,TRUE,"Arc.";#N/A,#N/A,TRUE,"Preliminary";#N/A,#N/A,TRUE,"Sum_Prelim"}</definedName>
    <definedName name="SAC">NA()</definedName>
    <definedName name="saEda" hidden="1">{#N/A,#N/A,TRUE,"SUM";#N/A,#N/A,TRUE,"EE";#N/A,#N/A,TRUE,"AC";#N/A,#N/A,TRUE,"SN"}</definedName>
    <definedName name="Sale_status">#REF!</definedName>
    <definedName name="SAM">#REF!</definedName>
    <definedName name="SAN" hidden="1">{#N/A,#N/A,TRUE,"SUM";#N/A,#N/A,TRUE,"EE";#N/A,#N/A,TRUE,"AC";#N/A,#N/A,TRUE,"SN"}</definedName>
    <definedName name="SAN_L">#REF!</definedName>
    <definedName name="SAN_M">#REF!</definedName>
    <definedName name="sang" hidden="1">{#N/A,#N/A,TRUE,"Str.";#N/A,#N/A,TRUE,"Steel &amp; Roof";#N/A,#N/A,TRUE,"Arc.";#N/A,#N/A,TRUE,"Preliminary";#N/A,#N/A,TRUE,"Sum_Prelim"}</definedName>
    <definedName name="sas" hidden="1">#REF!</definedName>
    <definedName name="SAVE">#REF!</definedName>
    <definedName name="SC">#REF!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hed_Pay">#REF!</definedName>
    <definedName name="Sched_Pay_8">#REF!</definedName>
    <definedName name="schedule_of_works">#REF!</definedName>
    <definedName name="Scheduled_Extra_Payments">#REF!</definedName>
    <definedName name="Scheduled_Interest_Rate">#REF!</definedName>
    <definedName name="Scheduled_Interest_Rate_8">#REF!</definedName>
    <definedName name="Scheduled_Monthly_Payment">#REF!</definedName>
    <definedName name="SD" hidden="1">{#N/A,#N/A,TRUE,"Str.";#N/A,#N/A,TRUE,"Steel &amp; Roof";#N/A,#N/A,TRUE,"Arc.";#N/A,#N/A,TRUE,"Preliminary";#N/A,#N/A,TRUE,"Sum_Prelim"}</definedName>
    <definedName name="sda" hidden="1">#REF!</definedName>
    <definedName name="sdasa" hidden="1">{#N/A,#N/A,TRUE,"SUM";#N/A,#N/A,TRUE,"EE";#N/A,#N/A,TRUE,"AC";#N/A,#N/A,TRUE,"SN"}</definedName>
    <definedName name="sdd" hidden="1">{#N/A,#N/A,FALSE,"Cont Doc_LSV (4)";#N/A,#N/A,FALSE,"Cont Doc_LSV (5)";#N/A,#N/A,FALSE,"Cont Doc_LSV (6)"}</definedName>
    <definedName name="sdddddddd" hidden="1">{"'SUMMATION'!$B$2:$I$2"}</definedName>
    <definedName name="sddhgdafgh" hidden="1">{#N/A,#N/A,TRUE,"SUM";#N/A,#N/A,TRUE,"EE";#N/A,#N/A,TRUE,"AC";#N/A,#N/A,TRUE,"SN"}</definedName>
    <definedName name="sdf" hidden="1">{#N/A,#N/A,TRUE,"SUM";#N/A,#N/A,TRUE,"EE";#N/A,#N/A,TRUE,"AC";#N/A,#N/A,TRUE,"SN"}</definedName>
    <definedName name="sdfg" hidden="1">{#N/A,#N/A,FALSE,"Clients Office";#N/A,#N/A,FALSE,"Co Sum"}</definedName>
    <definedName name="SDFSD" hidden="1">{#N/A,#N/A,TRUE,"SUM";#N/A,#N/A,TRUE,"EE";#N/A,#N/A,TRUE,"AC";#N/A,#N/A,TRUE,"SN"}</definedName>
    <definedName name="sdfsdgsg" hidden="1">{#N/A,#N/A,TRUE,"SUM";#N/A,#N/A,TRUE,"EE";#N/A,#N/A,TRUE,"AC";#N/A,#N/A,TRUE,"SN"}</definedName>
    <definedName name="sdfzs" hidden="1">{#N/A,#N/A,TRUE,"SUM";#N/A,#N/A,TRUE,"EE";#N/A,#N/A,TRUE,"AC";#N/A,#N/A,TRUE,"SN"}</definedName>
    <definedName name="sdgdfsh" hidden="1">{#N/A,#N/A,TRUE,"SUM";#N/A,#N/A,TRUE,"EE";#N/A,#N/A,TRUE,"AC";#N/A,#N/A,TRUE,"SN"}</definedName>
    <definedName name="sdr" hidden="1">{"conso",#N/A,FALSE,"cash flow"}</definedName>
    <definedName name="sdtgf" hidden="1">{"conso",#N/A,FALSE,"cash flow"}</definedName>
    <definedName name="sedfww">#REF!</definedName>
    <definedName name="sert" hidden="1">{"'SUMMATION'!$B$2:$I$2"}</definedName>
    <definedName name="sertet" hidden="1">{#N/A,#N/A,TRUE,"SUM";#N/A,#N/A,TRUE,"EE";#N/A,#N/A,TRUE,"AC";#N/A,#N/A,TRUE,"SN"}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">#REF!</definedName>
    <definedName name="sffef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L">#REF!</definedName>
    <definedName name="sfsdfsdfsdfsdfsfs" hidden="1">{#N/A,#N/A,TRUE,"SUM";#N/A,#N/A,TRUE,"EE";#N/A,#N/A,TRUE,"AC";#N/A,#N/A,TRUE,"SN"}</definedName>
    <definedName name="sgg" hidden="1">{#N/A,#N/A,TRUE,"SUM";#N/A,#N/A,TRUE,"EE";#N/A,#N/A,TRUE,"AC";#N/A,#N/A,TRUE,"SN"}</definedName>
    <definedName name="sgrhg" hidden="1">{#N/A,#N/A,TRUE,"SUM";#N/A,#N/A,TRUE,"EE";#N/A,#N/A,TRUE,"AC";#N/A,#N/A,TRUE,"SN"}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 hidden="1">{#N/A,#N/A,FALSE,"Clients Office";#N/A,#N/A,FALSE,"Co Sum"}</definedName>
    <definedName name="sheets" hidden="1">{#N/A,#N/A,FALSE,"Field Rates";#N/A,#N/A,FALSE,"Field Sum"}</definedName>
    <definedName name="shgh" hidden="1">{#N/A,#N/A,TRUE,"SUM";#N/A,#N/A,TRUE,"EE";#N/A,#N/A,TRUE,"AC";#N/A,#N/A,TRUE,"SN"}</definedName>
    <definedName name="show_room" hidden="1">{"'SUMMATION'!$B$2:$I$2"}</definedName>
    <definedName name="slab">#REF!</definedName>
    <definedName name="slablayer1">#REF!</definedName>
    <definedName name="SLEE">#REF!</definedName>
    <definedName name="SN">#REF!</definedName>
    <definedName name="SN_Lab">#REF!</definedName>
    <definedName name="SN_Mat">#REF!</definedName>
    <definedName name="so" hidden="1">{#N/A,#N/A,TRUE,"SUM";#N/A,#N/A,TRUE,"EE";#N/A,#N/A,TRUE,"AC";#N/A,#N/A,TRUE,"SN"}</definedName>
    <definedName name="SOH">#REF!</definedName>
    <definedName name="solver_lhs1" hidden="1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" hidden="1">#REF!</definedName>
    <definedName name="soon" hidden="1">{#N/A,#N/A,TRUE,"SUM";#N/A,#N/A,TRUE,"EE";#N/A,#N/A,TRUE,"AC";#N/A,#N/A,TRUE,"SN"}</definedName>
    <definedName name="Sort" hidden="1">#REF!</definedName>
    <definedName name="sre" hidden="1">{#N/A,#N/A,TRUE,"SUM";#N/A,#N/A,TRUE,"EE";#N/A,#N/A,TRUE,"AC";#N/A,#N/A,TRUE,"SN"}</definedName>
    <definedName name="srgrsgbd">#REF!</definedName>
    <definedName name="srsf" hidden="1">{#N/A,#N/A,TRUE,"SUM";#N/A,#N/A,TRUE,"EE";#N/A,#N/A,TRUE,"AC";#N/A,#N/A,TRUE,"SN"}</definedName>
    <definedName name="SS">#REF!</definedName>
    <definedName name="ss___0">NA()</definedName>
    <definedName name="ss___0___0">NA()</definedName>
    <definedName name="ss___0___6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5___0">NA()</definedName>
    <definedName name="ss___6">NA()</definedName>
    <definedName name="ss___7">NA()</definedName>
    <definedName name="ss___8">NA()</definedName>
    <definedName name="ss___9">NA()</definedName>
    <definedName name="SSE">#REF!</definedName>
    <definedName name="sss" hidden="1">{"cashflow",#N/A,FALSE,"CASHFLOW 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_LAB">#REF!</definedName>
    <definedName name="ST_MAT">#REF!</definedName>
    <definedName name="START2">#REF!</definedName>
    <definedName name="Ston">#REF!</definedName>
    <definedName name="Stone">#REF!</definedName>
    <definedName name="STOP">#REF!</definedName>
    <definedName name="STOP2">#REF!</definedName>
    <definedName name="STOP2E">#REF!</definedName>
    <definedName name="STOPE">#REF!</definedName>
    <definedName name="str_lab">#REF!</definedName>
    <definedName name="str_mat">#REF!</definedName>
    <definedName name="STRU_LAB">#REF!</definedName>
    <definedName name="STRU_MAT">#REF!</definedName>
    <definedName name="STRUC_L">#REF!</definedName>
    <definedName name="STRUC_LAB">#REF!</definedName>
    <definedName name="STRUC_M">#REF!</definedName>
    <definedName name="STRUC_MAT">#REF!</definedName>
    <definedName name="Sub" hidden="1">INDIRECT(ADDRESS(ROW()-INDIRECT(ADDRESS(ROW()-1,COLUMN(#REF!))),COLUMN())&amp;":"&amp;ADDRESS(ROW()-1,COLUMN()))</definedName>
    <definedName name="Subloan_interest">#REF!</definedName>
    <definedName name="SUBSTRU">#REF!</definedName>
    <definedName name="SUBT">#REF!</definedName>
    <definedName name="sum" hidden="1">{#N/A,#N/A,TRUE,"SUM";#N/A,#N/A,TRUE,"EE";#N/A,#N/A,TRUE,"AC";#N/A,#N/A,TRUE,"SN"}</definedName>
    <definedName name="sum2a">#REF!</definedName>
    <definedName name="sumi">#REF!</definedName>
    <definedName name="summ10">#REF!</definedName>
    <definedName name="summ11">#REF!</definedName>
    <definedName name="summ12">#REF!</definedName>
    <definedName name="summ2">#REF!</definedName>
    <definedName name="summ3">#REF!</definedName>
    <definedName name="summ5">#REF!,#REF!</definedName>
    <definedName name="summ8">#REF!</definedName>
    <definedName name="summ9">#REF!</definedName>
    <definedName name="summar" hidden="1">{#N/A,#N/A,TRUE,"SUM";#N/A,#N/A,TRUE,"EE";#N/A,#N/A,TRUE,"AC";#N/A,#N/A,TRUE,"SN"}</definedName>
    <definedName name="summary" hidden="1">{#N/A,#N/A,TRUE,"SUM";#N/A,#N/A,TRUE,"EE";#N/A,#N/A,TRUE,"AC";#N/A,#N/A,TRUE,"SN"}</definedName>
    <definedName name="summer2" hidden="1">{#N/A,#N/A,TRUE,"SUM";#N/A,#N/A,TRUE,"EE";#N/A,#N/A,TRUE,"AC";#N/A,#N/A,TRUE,"SN"}</definedName>
    <definedName name="Sumsub" hidden="1">INDIRECT(ADDRESS(ROW()-INDIRECT(ADDRESS(ROW()-1,COLUMN(#REF!))),COLUMN())&amp;":"&amp;ADDRESS(ROW()-1,COLUMN()))</definedName>
    <definedName name="SUP">#REF!</definedName>
    <definedName name="Super" hidden="1">{#N/A,#N/A,TRUE,"Str.";#N/A,#N/A,TRUE,"Steel &amp; Roof";#N/A,#N/A,TRUE,"Arc.";#N/A,#N/A,TRUE,"Preliminary";#N/A,#N/A,TRUE,"Sum_Prelim"}</definedName>
    <definedName name="SUPFS">#REF!</definedName>
    <definedName name="SUPP">#REF!</definedName>
    <definedName name="SUPT">#REF!</definedName>
    <definedName name="SUS">#REF!</definedName>
    <definedName name="SWw" hidden="1">{#N/A,#N/A,TRUE,"SUM";#N/A,#N/A,TRUE,"EE";#N/A,#N/A,TRUE,"AC";#N/A,#N/A,TRUE,"SN"}</definedName>
    <definedName name="T">#REF!</definedName>
    <definedName name="T.">#N/A</definedName>
    <definedName name="T_">#N/A</definedName>
    <definedName name="TABL">#REF!</definedName>
    <definedName name="TABLE">#REF!</definedName>
    <definedName name="tawt" hidden="1">{#N/A,#N/A,TRUE,"SUM";#N/A,#N/A,TRUE,"EE";#N/A,#N/A,TRUE,"AC";#N/A,#N/A,TRUE,"SN"}</definedName>
    <definedName name="tel">NA()</definedName>
    <definedName name="Termite">#REF!</definedName>
    <definedName name="teryrty" hidden="1">{#N/A,#N/A,TRUE,"SUM";#N/A,#N/A,TRUE,"EE";#N/A,#N/A,TRUE,"AC";#N/A,#N/A,TRUE,"SN"}</definedName>
    <definedName name="TEST">#REF!</definedName>
    <definedName name="tewtret" hidden="1">{#N/A,#N/A,TRUE,"SUM";#N/A,#N/A,TRUE,"EE";#N/A,#N/A,TRUE,"AC";#N/A,#N/A,TRUE,"SN"}</definedName>
    <definedName name="thfjjf" hidden="1">{#N/A,#N/A,TRUE,"SUM";#N/A,#N/A,TRUE,"EE";#N/A,#N/A,TRUE,"AC";#N/A,#N/A,TRUE,"SN"}</definedName>
    <definedName name="THW">#REF!</definedName>
    <definedName name="tidf" hidden="1">{"'Sheet1'!$L$16"}</definedName>
    <definedName name="tiiy" hidden="1">{#N/A,#N/A,TRUE,"SUM";#N/A,#N/A,TRUE,"EE";#N/A,#N/A,TRUE,"AC";#N/A,#N/A,TRUE,"SN"}</definedName>
    <definedName name="Til">#REF!</definedName>
    <definedName name="Tile">#REF!</definedName>
    <definedName name="TITLE">#REF!</definedName>
    <definedName name="tjli" hidden="1">{#N/A,#N/A,TRUE,"Str.";#N/A,#N/A,TRUE,"Steel &amp; Roof";#N/A,#N/A,TRUE,"Arc.";#N/A,#N/A,TRUE,"Preliminary";#N/A,#N/A,TRUE,"Sum_Prelim"}</definedName>
    <definedName name="TL">#REF!</definedName>
    <definedName name="TLH">#REF!</definedName>
    <definedName name="TN">#REF!</definedName>
    <definedName name="TNTCON" hidden="1">{#N/A,#N/A,TRUE,"Str.";#N/A,#N/A,TRUE,"Steel &amp; Roof";#N/A,#N/A,TRUE,"Arc.";#N/A,#N/A,TRUE,"Preliminary";#N/A,#N/A,TRUE,"Sum_Prelim"}</definedName>
    <definedName name="today">#REF!</definedName>
    <definedName name="TOP">#REF!</definedName>
    <definedName name="Torsion">#REF!</definedName>
    <definedName name="TOTAL">#REF!</definedName>
    <definedName name="Total_cash_inflow">#REF!</definedName>
    <definedName name="Total_cash_outflow">#REF!</definedName>
    <definedName name="Total_Cost_QTY_1">#REF!</definedName>
    <definedName name="Total_Interest">#REF!</definedName>
    <definedName name="total_lab">#REF!</definedName>
    <definedName name="Total_loan_repay">#REF!</definedName>
    <definedName name="total_mat">#REF!</definedName>
    <definedName name="Total_Pay">#REF!</definedName>
    <definedName name="Total_Pay_8">#REF!</definedName>
    <definedName name="Total_Payment" localSheetId="3">Scheduled_Payment+Extra_Payment</definedName>
    <definedName name="Total_Payment">Scheduled_Payment+Extra_Payment</definedName>
    <definedName name="Total_Payment___0" localSheetId="3">Scheduled_Payment+Extra_Payment</definedName>
    <definedName name="Total_Payment___0">Scheduled_Payment+Extra_Payment</definedName>
    <definedName name="Total_Payment___0___0" localSheetId="3">Scheduled_Payment+Extra_Payment</definedName>
    <definedName name="Total_Payment___0___0">Scheduled_Payment+Extra_Payment</definedName>
    <definedName name="Total_Payment___0___0_1" localSheetId="3">Scheduled_Payment+Extra_Payment</definedName>
    <definedName name="Total_Payment___0___0_1">Scheduled_Payment+Extra_Payment</definedName>
    <definedName name="Total_Payment___0___0_1_1" localSheetId="3">Scheduled_Payment+Extra_Payment</definedName>
    <definedName name="Total_Payment___0___0_1_1">Scheduled_Payment+Extra_Payment</definedName>
    <definedName name="Total_Payment___0___0_10" localSheetId="3">Scheduled_Payment+Extra_Payment</definedName>
    <definedName name="Total_Payment___0___0_10">Scheduled_Payment+Extra_Payment</definedName>
    <definedName name="Total_Payment___0___0_10_1" localSheetId="3">Scheduled_Payment+Extra_Payment</definedName>
    <definedName name="Total_Payment___0___0_10_1">Scheduled_Payment+Extra_Payment</definedName>
    <definedName name="Total_Payment___0___0_11" localSheetId="3">Scheduled_Payment+Extra_Payment</definedName>
    <definedName name="Total_Payment___0___0_11">Scheduled_Payment+Extra_Payment</definedName>
    <definedName name="Total_Payment___0___0_11_1" localSheetId="3">Scheduled_Payment+Extra_Payment</definedName>
    <definedName name="Total_Payment___0___0_11_1">Scheduled_Payment+Extra_Payment</definedName>
    <definedName name="Total_Payment___0___0_12" localSheetId="3">Scheduled_Payment+Extra_Payment</definedName>
    <definedName name="Total_Payment___0___0_12">Scheduled_Payment+Extra_Payment</definedName>
    <definedName name="Total_Payment___0___0_12_1" localSheetId="3">Scheduled_Payment+Extra_Payment</definedName>
    <definedName name="Total_Payment___0___0_12_1">Scheduled_Payment+Extra_Payment</definedName>
    <definedName name="Total_Payment___0___0_13" localSheetId="3">Scheduled_Payment+Extra_Payment</definedName>
    <definedName name="Total_Payment___0___0_13">Scheduled_Payment+Extra_Payment</definedName>
    <definedName name="Total_Payment___0___0_13_1" localSheetId="3">Scheduled_Payment+Extra_Payment</definedName>
    <definedName name="Total_Payment___0___0_13_1">Scheduled_Payment+Extra_Payment</definedName>
    <definedName name="Total_Payment___0___0_2" localSheetId="3">Scheduled_Payment+Extra_Payment</definedName>
    <definedName name="Total_Payment___0___0_2">Scheduled_Payment+Extra_Payment</definedName>
    <definedName name="Total_Payment___0___0_2_1" localSheetId="3">Scheduled_Payment+Extra_Payment</definedName>
    <definedName name="Total_Payment___0___0_2_1">Scheduled_Payment+Extra_Payment</definedName>
    <definedName name="Total_Payment___0___0_3" localSheetId="3">Scheduled_Payment+Extra_Payment</definedName>
    <definedName name="Total_Payment___0___0_3">Scheduled_Payment+Extra_Payment</definedName>
    <definedName name="Total_Payment___0___0_3_1" localSheetId="3">Scheduled_Payment+Extra_Payment</definedName>
    <definedName name="Total_Payment___0___0_3_1">Scheduled_Payment+Extra_Payment</definedName>
    <definedName name="Total_Payment___0___0_4" localSheetId="3">Scheduled_Payment+Extra_Payment</definedName>
    <definedName name="Total_Payment___0___0_4">Scheduled_Payment+Extra_Payment</definedName>
    <definedName name="Total_Payment___0___0_4_1" localSheetId="3">Scheduled_Payment+Extra_Payment</definedName>
    <definedName name="Total_Payment___0___0_4_1">Scheduled_Payment+Extra_Payment</definedName>
    <definedName name="Total_Payment___0___0_5" localSheetId="3">Scheduled_Payment+Extra_Payment</definedName>
    <definedName name="Total_Payment___0___0_5">Scheduled_Payment+Extra_Payment</definedName>
    <definedName name="Total_Payment___0___0_5_1" localSheetId="3">Scheduled_Payment+Extra_Payment</definedName>
    <definedName name="Total_Payment___0___0_5_1">Scheduled_Payment+Extra_Payment</definedName>
    <definedName name="Total_Payment___0___0_7" localSheetId="3">Scheduled_Payment+Extra_Payment</definedName>
    <definedName name="Total_Payment___0___0_7">Scheduled_Payment+Extra_Payment</definedName>
    <definedName name="Total_Payment___0___0_7_1" localSheetId="3">Scheduled_Payment+Extra_Payment</definedName>
    <definedName name="Total_Payment___0___0_7_1">Scheduled_Payment+Extra_Payment</definedName>
    <definedName name="Total_Payment___0___0_8" localSheetId="3">Scheduled_Payment+Extra_Payment</definedName>
    <definedName name="Total_Payment___0___0_8">Scheduled_Payment+Extra_Payment</definedName>
    <definedName name="Total_Payment___0___0_9" localSheetId="3">Scheduled_Payment+Extra_Payment</definedName>
    <definedName name="Total_Payment___0___0_9">Scheduled_Payment+Extra_Payment</definedName>
    <definedName name="Total_Payment___0___0_9_1" localSheetId="3">Scheduled_Payment+Extra_Payment</definedName>
    <definedName name="Total_Payment___0___0_9_1">Scheduled_Payment+Extra_Payment</definedName>
    <definedName name="Total_Payment___0___6" localSheetId="3">Scheduled_Payment+Extra_Payment</definedName>
    <definedName name="Total_Payment___0___6">Scheduled_Payment+Extra_Payment</definedName>
    <definedName name="Total_Payment___0___6_1" localSheetId="3">Scheduled_Payment+Extra_Payment</definedName>
    <definedName name="Total_Payment___0___6_1">Scheduled_Payment+Extra_Payment</definedName>
    <definedName name="Total_Payment___0___6_1_1" localSheetId="3">Scheduled_Payment+Extra_Payment</definedName>
    <definedName name="Total_Payment___0___6_1_1">Scheduled_Payment+Extra_Payment</definedName>
    <definedName name="Total_Payment___0___6_10" localSheetId="3">Scheduled_Payment+Extra_Payment</definedName>
    <definedName name="Total_Payment___0___6_10">Scheduled_Payment+Extra_Payment</definedName>
    <definedName name="Total_Payment___0___6_10_1" localSheetId="3">Scheduled_Payment+Extra_Payment</definedName>
    <definedName name="Total_Payment___0___6_10_1">Scheduled_Payment+Extra_Payment</definedName>
    <definedName name="Total_Payment___0___6_11" localSheetId="3">Scheduled_Payment+Extra_Payment</definedName>
    <definedName name="Total_Payment___0___6_11">Scheduled_Payment+Extra_Payment</definedName>
    <definedName name="Total_Payment___0___6_11_1" localSheetId="3">Scheduled_Payment+Extra_Payment</definedName>
    <definedName name="Total_Payment___0___6_11_1">Scheduled_Payment+Extra_Payment</definedName>
    <definedName name="Total_Payment___0___6_12" localSheetId="3">Scheduled_Payment+Extra_Payment</definedName>
    <definedName name="Total_Payment___0___6_12">Scheduled_Payment+Extra_Payment</definedName>
    <definedName name="Total_Payment___0___6_12_1" localSheetId="3">Scheduled_Payment+Extra_Payment</definedName>
    <definedName name="Total_Payment___0___6_12_1">Scheduled_Payment+Extra_Payment</definedName>
    <definedName name="Total_Payment___0___6_13" localSheetId="3">Scheduled_Payment+Extra_Payment</definedName>
    <definedName name="Total_Payment___0___6_13">Scheduled_Payment+Extra_Payment</definedName>
    <definedName name="Total_Payment___0___6_13_1" localSheetId="3">Scheduled_Payment+Extra_Payment</definedName>
    <definedName name="Total_Payment___0___6_13_1">Scheduled_Payment+Extra_Payment</definedName>
    <definedName name="Total_Payment___0___6_2" localSheetId="3">Scheduled_Payment+Extra_Payment</definedName>
    <definedName name="Total_Payment___0___6_2">Scheduled_Payment+Extra_Payment</definedName>
    <definedName name="Total_Payment___0___6_2_1" localSheetId="3">Scheduled_Payment+Extra_Payment</definedName>
    <definedName name="Total_Payment___0___6_2_1">Scheduled_Payment+Extra_Payment</definedName>
    <definedName name="Total_Payment___0___6_3" localSheetId="3">Scheduled_Payment+Extra_Payment</definedName>
    <definedName name="Total_Payment___0___6_3">Scheduled_Payment+Extra_Payment</definedName>
    <definedName name="Total_Payment___0___6_3_1" localSheetId="3">Scheduled_Payment+Extra_Payment</definedName>
    <definedName name="Total_Payment___0___6_3_1">Scheduled_Payment+Extra_Payment</definedName>
    <definedName name="Total_Payment___0___6_4" localSheetId="3">Scheduled_Payment+Extra_Payment</definedName>
    <definedName name="Total_Payment___0___6_4">Scheduled_Payment+Extra_Payment</definedName>
    <definedName name="Total_Payment___0___6_4_1" localSheetId="3">Scheduled_Payment+Extra_Payment</definedName>
    <definedName name="Total_Payment___0___6_4_1">Scheduled_Payment+Extra_Payment</definedName>
    <definedName name="Total_Payment___0___6_5" localSheetId="3">Scheduled_Payment+Extra_Payment</definedName>
    <definedName name="Total_Payment___0___6_5">Scheduled_Payment+Extra_Payment</definedName>
    <definedName name="Total_Payment___0___6_5_1" localSheetId="3">Scheduled_Payment+Extra_Payment</definedName>
    <definedName name="Total_Payment___0___6_5_1">Scheduled_Payment+Extra_Payment</definedName>
    <definedName name="Total_Payment___0___6_7" localSheetId="3">Scheduled_Payment+Extra_Payment</definedName>
    <definedName name="Total_Payment___0___6_7">Scheduled_Payment+Extra_Payment</definedName>
    <definedName name="Total_Payment___0___6_7_1" localSheetId="3">Scheduled_Payment+Extra_Payment</definedName>
    <definedName name="Total_Payment___0___6_7_1">Scheduled_Payment+Extra_Payment</definedName>
    <definedName name="Total_Payment___0___6_8" localSheetId="3">Scheduled_Payment+Extra_Payment</definedName>
    <definedName name="Total_Payment___0___6_8">Scheduled_Payment+Extra_Payment</definedName>
    <definedName name="Total_Payment___0___6_9" localSheetId="3">Scheduled_Payment+Extra_Payment</definedName>
    <definedName name="Total_Payment___0___6_9">Scheduled_Payment+Extra_Payment</definedName>
    <definedName name="Total_Payment___0___6_9_1" localSheetId="3">Scheduled_Payment+Extra_Payment</definedName>
    <definedName name="Total_Payment___0___6_9_1">Scheduled_Payment+Extra_Payment</definedName>
    <definedName name="Total_Payment___0_1" localSheetId="3">Scheduled_Payment+Extra_Payment</definedName>
    <definedName name="Total_Payment___0_1">Scheduled_Payment+Extra_Payment</definedName>
    <definedName name="Total_Payment___0_1_1" localSheetId="3">Scheduled_Payment+Extra_Payment</definedName>
    <definedName name="Total_Payment___0_1_1">Scheduled_Payment+Extra_Payment</definedName>
    <definedName name="Total_Payment___0_10" localSheetId="3">Scheduled_Payment+Extra_Payment</definedName>
    <definedName name="Total_Payment___0_10">Scheduled_Payment+Extra_Payment</definedName>
    <definedName name="Total_Payment___0_10_1" localSheetId="3">Scheduled_Payment+Extra_Payment</definedName>
    <definedName name="Total_Payment___0_10_1">Scheduled_Payment+Extra_Payment</definedName>
    <definedName name="Total_Payment___0_11" localSheetId="3">Scheduled_Payment+Extra_Payment</definedName>
    <definedName name="Total_Payment___0_11">Scheduled_Payment+Extra_Payment</definedName>
    <definedName name="Total_Payment___0_11_1" localSheetId="3">Scheduled_Payment+Extra_Payment</definedName>
    <definedName name="Total_Payment___0_11_1">Scheduled_Payment+Extra_Payment</definedName>
    <definedName name="Total_Payment___0_12" localSheetId="3">Scheduled_Payment+Extra_Payment</definedName>
    <definedName name="Total_Payment___0_12">Scheduled_Payment+Extra_Payment</definedName>
    <definedName name="Total_Payment___0_12_1" localSheetId="3">Scheduled_Payment+Extra_Payment</definedName>
    <definedName name="Total_Payment___0_12_1">Scheduled_Payment+Extra_Payment</definedName>
    <definedName name="Total_Payment___0_13" localSheetId="3">Scheduled_Payment+Extra_Payment</definedName>
    <definedName name="Total_Payment___0_13">Scheduled_Payment+Extra_Payment</definedName>
    <definedName name="Total_Payment___0_13_1" localSheetId="3">Scheduled_Payment+Extra_Payment</definedName>
    <definedName name="Total_Payment___0_13_1">Scheduled_Payment+Extra_Payment</definedName>
    <definedName name="Total_Payment___0_2" localSheetId="3">Scheduled_Payment+Extra_Payment</definedName>
    <definedName name="Total_Payment___0_2">Scheduled_Payment+Extra_Payment</definedName>
    <definedName name="Total_Payment___0_2_1" localSheetId="3">Scheduled_Payment+Extra_Payment</definedName>
    <definedName name="Total_Payment___0_2_1">Scheduled_Payment+Extra_Payment</definedName>
    <definedName name="Total_Payment___0_3" localSheetId="3">Scheduled_Payment+Extra_Payment</definedName>
    <definedName name="Total_Payment___0_3">Scheduled_Payment+Extra_Payment</definedName>
    <definedName name="Total_Payment___0_3_1" localSheetId="3">Scheduled_Payment+Extra_Payment</definedName>
    <definedName name="Total_Payment___0_3_1">Scheduled_Payment+Extra_Payment</definedName>
    <definedName name="Total_Payment___0_4" localSheetId="3">Scheduled_Payment+Extra_Payment</definedName>
    <definedName name="Total_Payment___0_4">Scheduled_Payment+Extra_Payment</definedName>
    <definedName name="Total_Payment___0_4_1" localSheetId="3">Scheduled_Payment+Extra_Payment</definedName>
    <definedName name="Total_Payment___0_4_1">Scheduled_Payment+Extra_Payment</definedName>
    <definedName name="Total_Payment___0_5" localSheetId="3">Scheduled_Payment+Extra_Payment</definedName>
    <definedName name="Total_Payment___0_5">Scheduled_Payment+Extra_Payment</definedName>
    <definedName name="Total_Payment___0_5_1" localSheetId="3">Scheduled_Payment+Extra_Payment</definedName>
    <definedName name="Total_Payment___0_5_1">Scheduled_Payment+Extra_Payment</definedName>
    <definedName name="Total_Payment___0_7" localSheetId="3">Scheduled_Payment+Extra_Payment</definedName>
    <definedName name="Total_Payment___0_7">Scheduled_Payment+Extra_Payment</definedName>
    <definedName name="Total_Payment___0_7_1" localSheetId="3">Scheduled_Payment+Extra_Payment</definedName>
    <definedName name="Total_Payment___0_7_1">Scheduled_Payment+Extra_Payment</definedName>
    <definedName name="Total_Payment___0_8" localSheetId="3">Scheduled_Payment+Extra_Payment</definedName>
    <definedName name="Total_Payment___0_8">Scheduled_Payment+Extra_Payment</definedName>
    <definedName name="Total_Payment___0_9" localSheetId="3">Scheduled_Payment+Extra_Payment</definedName>
    <definedName name="Total_Payment___0_9">Scheduled_Payment+Extra_Payment</definedName>
    <definedName name="Total_Payment___0_9_1" localSheetId="3">Scheduled_Payment+Extra_Payment</definedName>
    <definedName name="Total_Payment___0_9_1">Scheduled_Payment+Extra_Payment</definedName>
    <definedName name="Total_Payment___10" localSheetId="3">Scheduled_Payment+Extra_Payment</definedName>
    <definedName name="Total_Payment___10">Scheduled_Payment+Extra_Payment</definedName>
    <definedName name="Total_Payment___2" localSheetId="3">Scheduled_Payment+Extra_Payment</definedName>
    <definedName name="Total_Payment___2">Scheduled_Payment+Extra_Payment</definedName>
    <definedName name="Total_Payment___3" localSheetId="3">Scheduled_Payment+Extra_Payment</definedName>
    <definedName name="Total_Payment___3">Scheduled_Payment+Extra_Payment</definedName>
    <definedName name="Total_Payment___3___0" localSheetId="3">Scheduled_Payment+Extra_Payment</definedName>
    <definedName name="Total_Payment___3___0">Scheduled_Payment+Extra_Payment</definedName>
    <definedName name="Total_Payment___3___0_1" localSheetId="3">Scheduled_Payment+Extra_Payment</definedName>
    <definedName name="Total_Payment___3___0_1">Scheduled_Payment+Extra_Payment</definedName>
    <definedName name="Total_Payment___3___0_1_1" localSheetId="3">Scheduled_Payment+Extra_Payment</definedName>
    <definedName name="Total_Payment___3___0_1_1">Scheduled_Payment+Extra_Payment</definedName>
    <definedName name="Total_Payment___3___0_10" localSheetId="3">Scheduled_Payment+Extra_Payment</definedName>
    <definedName name="Total_Payment___3___0_10">Scheduled_Payment+Extra_Payment</definedName>
    <definedName name="Total_Payment___3___0_10_1" localSheetId="3">Scheduled_Payment+Extra_Payment</definedName>
    <definedName name="Total_Payment___3___0_10_1">Scheduled_Payment+Extra_Payment</definedName>
    <definedName name="Total_Payment___3___0_11" localSheetId="3">Scheduled_Payment+Extra_Payment</definedName>
    <definedName name="Total_Payment___3___0_11">Scheduled_Payment+Extra_Payment</definedName>
    <definedName name="Total_Payment___3___0_11_1" localSheetId="3">Scheduled_Payment+Extra_Payment</definedName>
    <definedName name="Total_Payment___3___0_11_1">Scheduled_Payment+Extra_Payment</definedName>
    <definedName name="Total_Payment___3___0_12" localSheetId="3">Scheduled_Payment+Extra_Payment</definedName>
    <definedName name="Total_Payment___3___0_12">Scheduled_Payment+Extra_Payment</definedName>
    <definedName name="Total_Payment___3___0_12_1" localSheetId="3">Scheduled_Payment+Extra_Payment</definedName>
    <definedName name="Total_Payment___3___0_12_1">Scheduled_Payment+Extra_Payment</definedName>
    <definedName name="Total_Payment___3___0_13" localSheetId="3">Scheduled_Payment+Extra_Payment</definedName>
    <definedName name="Total_Payment___3___0_13">Scheduled_Payment+Extra_Payment</definedName>
    <definedName name="Total_Payment___3___0_13_1" localSheetId="3">Scheduled_Payment+Extra_Payment</definedName>
    <definedName name="Total_Payment___3___0_13_1">Scheduled_Payment+Extra_Payment</definedName>
    <definedName name="Total_Payment___3___0_2" localSheetId="3">Scheduled_Payment+Extra_Payment</definedName>
    <definedName name="Total_Payment___3___0_2">Scheduled_Payment+Extra_Payment</definedName>
    <definedName name="Total_Payment___3___0_2_1" localSheetId="3">Scheduled_Payment+Extra_Payment</definedName>
    <definedName name="Total_Payment___3___0_2_1">Scheduled_Payment+Extra_Payment</definedName>
    <definedName name="Total_Payment___3___0_3" localSheetId="3">Scheduled_Payment+Extra_Payment</definedName>
    <definedName name="Total_Payment___3___0_3">Scheduled_Payment+Extra_Payment</definedName>
    <definedName name="Total_Payment___3___0_3_1" localSheetId="3">Scheduled_Payment+Extra_Payment</definedName>
    <definedName name="Total_Payment___3___0_3_1">Scheduled_Payment+Extra_Payment</definedName>
    <definedName name="Total_Payment___3___0_4" localSheetId="3">Scheduled_Payment+Extra_Payment</definedName>
    <definedName name="Total_Payment___3___0_4">Scheduled_Payment+Extra_Payment</definedName>
    <definedName name="Total_Payment___3___0_4_1" localSheetId="3">Scheduled_Payment+Extra_Payment</definedName>
    <definedName name="Total_Payment___3___0_4_1">Scheduled_Payment+Extra_Payment</definedName>
    <definedName name="Total_Payment___3___0_5" localSheetId="3">Scheduled_Payment+Extra_Payment</definedName>
    <definedName name="Total_Payment___3___0_5">Scheduled_Payment+Extra_Payment</definedName>
    <definedName name="Total_Payment___3___0_5_1" localSheetId="3">Scheduled_Payment+Extra_Payment</definedName>
    <definedName name="Total_Payment___3___0_5_1">Scheduled_Payment+Extra_Payment</definedName>
    <definedName name="Total_Payment___3___0_7" localSheetId="3">Scheduled_Payment+Extra_Payment</definedName>
    <definedName name="Total_Payment___3___0_7">Scheduled_Payment+Extra_Payment</definedName>
    <definedName name="Total_Payment___3___0_7_1" localSheetId="3">Scheduled_Payment+Extra_Payment</definedName>
    <definedName name="Total_Payment___3___0_7_1">Scheduled_Payment+Extra_Payment</definedName>
    <definedName name="Total_Payment___3___0_8" localSheetId="3">Scheduled_Payment+Extra_Payment</definedName>
    <definedName name="Total_Payment___3___0_8">Scheduled_Payment+Extra_Payment</definedName>
    <definedName name="Total_Payment___3___0_9" localSheetId="3">Scheduled_Payment+Extra_Payment</definedName>
    <definedName name="Total_Payment___3___0_9">Scheduled_Payment+Extra_Payment</definedName>
    <definedName name="Total_Payment___3___0_9_1" localSheetId="3">Scheduled_Payment+Extra_Payment</definedName>
    <definedName name="Total_Payment___3___0_9_1">Scheduled_Payment+Extra_Payment</definedName>
    <definedName name="Total_Payment___3_1" localSheetId="3">Scheduled_Payment+Extra_Payment</definedName>
    <definedName name="Total_Payment___3_1">Scheduled_Payment+Extra_Payment</definedName>
    <definedName name="Total_Payment___3_1_1" localSheetId="3">Scheduled_Payment+Extra_Payment</definedName>
    <definedName name="Total_Payment___3_1_1">Scheduled_Payment+Extra_Payment</definedName>
    <definedName name="Total_Payment___3_10" localSheetId="3">Scheduled_Payment+Extra_Payment</definedName>
    <definedName name="Total_Payment___3_10">Scheduled_Payment+Extra_Payment</definedName>
    <definedName name="Total_Payment___3_10_1" localSheetId="3">Scheduled_Payment+Extra_Payment</definedName>
    <definedName name="Total_Payment___3_10_1">Scheduled_Payment+Extra_Payment</definedName>
    <definedName name="Total_Payment___3_11" localSheetId="3">Scheduled_Payment+Extra_Payment</definedName>
    <definedName name="Total_Payment___3_11">Scheduled_Payment+Extra_Payment</definedName>
    <definedName name="Total_Payment___3_11_1" localSheetId="3">Scheduled_Payment+Extra_Payment</definedName>
    <definedName name="Total_Payment___3_11_1">Scheduled_Payment+Extra_Payment</definedName>
    <definedName name="Total_Payment___3_12" localSheetId="3">Scheduled_Payment+Extra_Payment</definedName>
    <definedName name="Total_Payment___3_12">Scheduled_Payment+Extra_Payment</definedName>
    <definedName name="Total_Payment___3_12_1" localSheetId="3">Scheduled_Payment+Extra_Payment</definedName>
    <definedName name="Total_Payment___3_12_1">Scheduled_Payment+Extra_Payment</definedName>
    <definedName name="Total_Payment___3_13" localSheetId="3">Scheduled_Payment+Extra_Payment</definedName>
    <definedName name="Total_Payment___3_13">Scheduled_Payment+Extra_Payment</definedName>
    <definedName name="Total_Payment___3_13_1" localSheetId="3">Scheduled_Payment+Extra_Payment</definedName>
    <definedName name="Total_Payment___3_13_1">Scheduled_Payment+Extra_Payment</definedName>
    <definedName name="Total_Payment___3_2" localSheetId="3">Scheduled_Payment+Extra_Payment</definedName>
    <definedName name="Total_Payment___3_2">Scheduled_Payment+Extra_Payment</definedName>
    <definedName name="Total_Payment___3_2_1" localSheetId="3">Scheduled_Payment+Extra_Payment</definedName>
    <definedName name="Total_Payment___3_2_1">Scheduled_Payment+Extra_Payment</definedName>
    <definedName name="Total_Payment___3_3" localSheetId="3">Scheduled_Payment+Extra_Payment</definedName>
    <definedName name="Total_Payment___3_3">Scheduled_Payment+Extra_Payment</definedName>
    <definedName name="Total_Payment___3_3_1" localSheetId="3">Scheduled_Payment+Extra_Payment</definedName>
    <definedName name="Total_Payment___3_3_1">Scheduled_Payment+Extra_Payment</definedName>
    <definedName name="Total_Payment___3_4" localSheetId="3">Scheduled_Payment+Extra_Payment</definedName>
    <definedName name="Total_Payment___3_4">Scheduled_Payment+Extra_Payment</definedName>
    <definedName name="Total_Payment___3_4_1" localSheetId="3">Scheduled_Payment+Extra_Payment</definedName>
    <definedName name="Total_Payment___3_4_1">Scheduled_Payment+Extra_Payment</definedName>
    <definedName name="Total_Payment___3_5" localSheetId="3">Scheduled_Payment+Extra_Payment</definedName>
    <definedName name="Total_Payment___3_5">Scheduled_Payment+Extra_Payment</definedName>
    <definedName name="Total_Payment___3_5_1" localSheetId="3">Scheduled_Payment+Extra_Payment</definedName>
    <definedName name="Total_Payment___3_5_1">Scheduled_Payment+Extra_Payment</definedName>
    <definedName name="Total_Payment___3_7" localSheetId="3">Scheduled_Payment+Extra_Payment</definedName>
    <definedName name="Total_Payment___3_7">Scheduled_Payment+Extra_Payment</definedName>
    <definedName name="Total_Payment___3_7_1" localSheetId="3">Scheduled_Payment+Extra_Payment</definedName>
    <definedName name="Total_Payment___3_7_1">Scheduled_Payment+Extra_Payment</definedName>
    <definedName name="Total_Payment___3_8" localSheetId="3">Scheduled_Payment+Extra_Payment</definedName>
    <definedName name="Total_Payment___3_8">Scheduled_Payment+Extra_Payment</definedName>
    <definedName name="Total_Payment___3_9" localSheetId="3">Scheduled_Payment+Extra_Payment</definedName>
    <definedName name="Total_Payment___3_9">Scheduled_Payment+Extra_Payment</definedName>
    <definedName name="Total_Payment___3_9_1" localSheetId="3">Scheduled_Payment+Extra_Payment</definedName>
    <definedName name="Total_Payment___3_9_1">Scheduled_Payment+Extra_Payment</definedName>
    <definedName name="Total_Payment___4" localSheetId="3">Scheduled_Payment+Extra_Payment</definedName>
    <definedName name="Total_Payment___4">Scheduled_Payment+Extra_Payment</definedName>
    <definedName name="Total_Payment___4___0" localSheetId="3">Scheduled_Payment+Extra_Payment</definedName>
    <definedName name="Total_Payment___4___0">Scheduled_Payment+Extra_Payment</definedName>
    <definedName name="Total_Payment___4___0_1" localSheetId="3">Scheduled_Payment+Extra_Payment</definedName>
    <definedName name="Total_Payment___4___0_1">Scheduled_Payment+Extra_Payment</definedName>
    <definedName name="Total_Payment___4___0_1_1" localSheetId="3">Scheduled_Payment+Extra_Payment</definedName>
    <definedName name="Total_Payment___4___0_1_1">Scheduled_Payment+Extra_Payment</definedName>
    <definedName name="Total_Payment___4___0_10" localSheetId="3">Scheduled_Payment+Extra_Payment</definedName>
    <definedName name="Total_Payment___4___0_10">Scheduled_Payment+Extra_Payment</definedName>
    <definedName name="Total_Payment___4___0_10_1" localSheetId="3">Scheduled_Payment+Extra_Payment</definedName>
    <definedName name="Total_Payment___4___0_10_1">Scheduled_Payment+Extra_Payment</definedName>
    <definedName name="Total_Payment___4___0_11" localSheetId="3">Scheduled_Payment+Extra_Payment</definedName>
    <definedName name="Total_Payment___4___0_11">Scheduled_Payment+Extra_Payment</definedName>
    <definedName name="Total_Payment___4___0_11_1" localSheetId="3">Scheduled_Payment+Extra_Payment</definedName>
    <definedName name="Total_Payment___4___0_11_1">Scheduled_Payment+Extra_Payment</definedName>
    <definedName name="Total_Payment___4___0_12" localSheetId="3">Scheduled_Payment+Extra_Payment</definedName>
    <definedName name="Total_Payment___4___0_12">Scheduled_Payment+Extra_Payment</definedName>
    <definedName name="Total_Payment___4___0_12_1" localSheetId="3">Scheduled_Payment+Extra_Payment</definedName>
    <definedName name="Total_Payment___4___0_12_1">Scheduled_Payment+Extra_Payment</definedName>
    <definedName name="Total_Payment___4___0_13" localSheetId="3">Scheduled_Payment+Extra_Payment</definedName>
    <definedName name="Total_Payment___4___0_13">Scheduled_Payment+Extra_Payment</definedName>
    <definedName name="Total_Payment___4___0_13_1" localSheetId="3">Scheduled_Payment+Extra_Payment</definedName>
    <definedName name="Total_Payment___4___0_13_1">Scheduled_Payment+Extra_Payment</definedName>
    <definedName name="Total_Payment___4___0_2" localSheetId="3">Scheduled_Payment+Extra_Payment</definedName>
    <definedName name="Total_Payment___4___0_2">Scheduled_Payment+Extra_Payment</definedName>
    <definedName name="Total_Payment___4___0_2_1" localSheetId="3">Scheduled_Payment+Extra_Payment</definedName>
    <definedName name="Total_Payment___4___0_2_1">Scheduled_Payment+Extra_Payment</definedName>
    <definedName name="Total_Payment___4___0_3" localSheetId="3">Scheduled_Payment+Extra_Payment</definedName>
    <definedName name="Total_Payment___4___0_3">Scheduled_Payment+Extra_Payment</definedName>
    <definedName name="Total_Payment___4___0_3_1" localSheetId="3">Scheduled_Payment+Extra_Payment</definedName>
    <definedName name="Total_Payment___4___0_3_1">Scheduled_Payment+Extra_Payment</definedName>
    <definedName name="Total_Payment___4___0_4" localSheetId="3">Scheduled_Payment+Extra_Payment</definedName>
    <definedName name="Total_Payment___4___0_4">Scheduled_Payment+Extra_Payment</definedName>
    <definedName name="Total_Payment___4___0_4_1" localSheetId="3">Scheduled_Payment+Extra_Payment</definedName>
    <definedName name="Total_Payment___4___0_4_1">Scheduled_Payment+Extra_Payment</definedName>
    <definedName name="Total_Payment___4___0_5" localSheetId="3">Scheduled_Payment+Extra_Payment</definedName>
    <definedName name="Total_Payment___4___0_5">Scheduled_Payment+Extra_Payment</definedName>
    <definedName name="Total_Payment___4___0_5_1" localSheetId="3">Scheduled_Payment+Extra_Payment</definedName>
    <definedName name="Total_Payment___4___0_5_1">Scheduled_Payment+Extra_Payment</definedName>
    <definedName name="Total_Payment___4___0_7" localSheetId="3">Scheduled_Payment+Extra_Payment</definedName>
    <definedName name="Total_Payment___4___0_7">Scheduled_Payment+Extra_Payment</definedName>
    <definedName name="Total_Payment___4___0_7_1" localSheetId="3">Scheduled_Payment+Extra_Payment</definedName>
    <definedName name="Total_Payment___4___0_7_1">Scheduled_Payment+Extra_Payment</definedName>
    <definedName name="Total_Payment___4___0_8" localSheetId="3">Scheduled_Payment+Extra_Payment</definedName>
    <definedName name="Total_Payment___4___0_8">Scheduled_Payment+Extra_Payment</definedName>
    <definedName name="Total_Payment___4___0_9" localSheetId="3">Scheduled_Payment+Extra_Payment</definedName>
    <definedName name="Total_Payment___4___0_9">Scheduled_Payment+Extra_Payment</definedName>
    <definedName name="Total_Payment___4___0_9_1" localSheetId="3">Scheduled_Payment+Extra_Payment</definedName>
    <definedName name="Total_Payment___4___0_9_1">Scheduled_Payment+Extra_Payment</definedName>
    <definedName name="Total_Payment___4_1" localSheetId="3">Scheduled_Payment+Extra_Payment</definedName>
    <definedName name="Total_Payment___4_1">Scheduled_Payment+Extra_Payment</definedName>
    <definedName name="Total_Payment___4_1_1" localSheetId="3">Scheduled_Payment+Extra_Payment</definedName>
    <definedName name="Total_Payment___4_1_1">Scheduled_Payment+Extra_Payment</definedName>
    <definedName name="Total_Payment___4_10" localSheetId="3">Scheduled_Payment+Extra_Payment</definedName>
    <definedName name="Total_Payment___4_10">Scheduled_Payment+Extra_Payment</definedName>
    <definedName name="Total_Payment___4_10_1" localSheetId="3">Scheduled_Payment+Extra_Payment</definedName>
    <definedName name="Total_Payment___4_10_1">Scheduled_Payment+Extra_Payment</definedName>
    <definedName name="Total_Payment___4_11" localSheetId="3">Scheduled_Payment+Extra_Payment</definedName>
    <definedName name="Total_Payment___4_11">Scheduled_Payment+Extra_Payment</definedName>
    <definedName name="Total_Payment___4_11_1" localSheetId="3">Scheduled_Payment+Extra_Payment</definedName>
    <definedName name="Total_Payment___4_11_1">Scheduled_Payment+Extra_Payment</definedName>
    <definedName name="Total_Payment___4_12" localSheetId="3">Scheduled_Payment+Extra_Payment</definedName>
    <definedName name="Total_Payment___4_12">Scheduled_Payment+Extra_Payment</definedName>
    <definedName name="Total_Payment___4_12_1" localSheetId="3">Scheduled_Payment+Extra_Payment</definedName>
    <definedName name="Total_Payment___4_12_1">Scheduled_Payment+Extra_Payment</definedName>
    <definedName name="Total_Payment___4_13" localSheetId="3">Scheduled_Payment+Extra_Payment</definedName>
    <definedName name="Total_Payment___4_13">Scheduled_Payment+Extra_Payment</definedName>
    <definedName name="Total_Payment___4_13_1" localSheetId="3">Scheduled_Payment+Extra_Payment</definedName>
    <definedName name="Total_Payment___4_13_1">Scheduled_Payment+Extra_Payment</definedName>
    <definedName name="Total_Payment___4_2" localSheetId="3">Scheduled_Payment+Extra_Payment</definedName>
    <definedName name="Total_Payment___4_2">Scheduled_Payment+Extra_Payment</definedName>
    <definedName name="Total_Payment___4_2_1" localSheetId="3">Scheduled_Payment+Extra_Payment</definedName>
    <definedName name="Total_Payment___4_2_1">Scheduled_Payment+Extra_Payment</definedName>
    <definedName name="Total_Payment___4_3" localSheetId="3">Scheduled_Payment+Extra_Payment</definedName>
    <definedName name="Total_Payment___4_3">Scheduled_Payment+Extra_Payment</definedName>
    <definedName name="Total_Payment___4_3_1" localSheetId="3">Scheduled_Payment+Extra_Payment</definedName>
    <definedName name="Total_Payment___4_3_1">Scheduled_Payment+Extra_Payment</definedName>
    <definedName name="Total_Payment___4_4" localSheetId="3">Scheduled_Payment+Extra_Payment</definedName>
    <definedName name="Total_Payment___4_4">Scheduled_Payment+Extra_Payment</definedName>
    <definedName name="Total_Payment___4_4_1" localSheetId="3">Scheduled_Payment+Extra_Payment</definedName>
    <definedName name="Total_Payment___4_4_1">Scheduled_Payment+Extra_Payment</definedName>
    <definedName name="Total_Payment___4_5" localSheetId="3">Scheduled_Payment+Extra_Payment</definedName>
    <definedName name="Total_Payment___4_5">Scheduled_Payment+Extra_Payment</definedName>
    <definedName name="Total_Payment___4_5_1" localSheetId="3">Scheduled_Payment+Extra_Payment</definedName>
    <definedName name="Total_Payment___4_5_1">Scheduled_Payment+Extra_Payment</definedName>
    <definedName name="Total_Payment___4_7" localSheetId="3">Scheduled_Payment+Extra_Payment</definedName>
    <definedName name="Total_Payment___4_7">Scheduled_Payment+Extra_Payment</definedName>
    <definedName name="Total_Payment___4_7_1" localSheetId="3">Scheduled_Payment+Extra_Payment</definedName>
    <definedName name="Total_Payment___4_7_1">Scheduled_Payment+Extra_Payment</definedName>
    <definedName name="Total_Payment___4_8" localSheetId="3">Scheduled_Payment+Extra_Payment</definedName>
    <definedName name="Total_Payment___4_8">Scheduled_Payment+Extra_Payment</definedName>
    <definedName name="Total_Payment___4_9" localSheetId="3">Scheduled_Payment+Extra_Payment</definedName>
    <definedName name="Total_Payment___4_9">Scheduled_Payment+Extra_Payment</definedName>
    <definedName name="Total_Payment___4_9_1" localSheetId="3">Scheduled_Payment+Extra_Payment</definedName>
    <definedName name="Total_Payment___4_9_1">Scheduled_Payment+Extra_Payment</definedName>
    <definedName name="Total_Payment___5" localSheetId="3">Scheduled_Payment+Extra_Payment</definedName>
    <definedName name="Total_Payment___5">Scheduled_Payment+Extra_Payment</definedName>
    <definedName name="Total_Payment___5___0" localSheetId="3">Scheduled_Payment+Extra_Payment</definedName>
    <definedName name="Total_Payment___5___0">Scheduled_Payment+Extra_Payment</definedName>
    <definedName name="Total_Payment___5___0_1" localSheetId="3">Scheduled_Payment+Extra_Payment</definedName>
    <definedName name="Total_Payment___5___0_1">Scheduled_Payment+Extra_Payment</definedName>
    <definedName name="Total_Payment___5___0_1_1" localSheetId="3">Scheduled_Payment+Extra_Payment</definedName>
    <definedName name="Total_Payment___5___0_1_1">Scheduled_Payment+Extra_Payment</definedName>
    <definedName name="Total_Payment___5___0_10" localSheetId="3">Scheduled_Payment+Extra_Payment</definedName>
    <definedName name="Total_Payment___5___0_10">Scheduled_Payment+Extra_Payment</definedName>
    <definedName name="Total_Payment___5___0_10_1" localSheetId="3">Scheduled_Payment+Extra_Payment</definedName>
    <definedName name="Total_Payment___5___0_10_1">Scheduled_Payment+Extra_Payment</definedName>
    <definedName name="Total_Payment___5___0_11" localSheetId="3">Scheduled_Payment+Extra_Payment</definedName>
    <definedName name="Total_Payment___5___0_11">Scheduled_Payment+Extra_Payment</definedName>
    <definedName name="Total_Payment___5___0_11_1" localSheetId="3">Scheduled_Payment+Extra_Payment</definedName>
    <definedName name="Total_Payment___5___0_11_1">Scheduled_Payment+Extra_Payment</definedName>
    <definedName name="Total_Payment___5___0_12" localSheetId="3">Scheduled_Payment+Extra_Payment</definedName>
    <definedName name="Total_Payment___5___0_12">Scheduled_Payment+Extra_Payment</definedName>
    <definedName name="Total_Payment___5___0_12_1" localSheetId="3">Scheduled_Payment+Extra_Payment</definedName>
    <definedName name="Total_Payment___5___0_12_1">Scheduled_Payment+Extra_Payment</definedName>
    <definedName name="Total_Payment___5___0_13" localSheetId="3">Scheduled_Payment+Extra_Payment</definedName>
    <definedName name="Total_Payment___5___0_13">Scheduled_Payment+Extra_Payment</definedName>
    <definedName name="Total_Payment___5___0_13_1" localSheetId="3">Scheduled_Payment+Extra_Payment</definedName>
    <definedName name="Total_Payment___5___0_13_1">Scheduled_Payment+Extra_Payment</definedName>
    <definedName name="Total_Payment___5___0_2" localSheetId="3">Scheduled_Payment+Extra_Payment</definedName>
    <definedName name="Total_Payment___5___0_2">Scheduled_Payment+Extra_Payment</definedName>
    <definedName name="Total_Payment___5___0_2_1" localSheetId="3">Scheduled_Payment+Extra_Payment</definedName>
    <definedName name="Total_Payment___5___0_2_1">Scheduled_Payment+Extra_Payment</definedName>
    <definedName name="Total_Payment___5___0_3" localSheetId="3">Scheduled_Payment+Extra_Payment</definedName>
    <definedName name="Total_Payment___5___0_3">Scheduled_Payment+Extra_Payment</definedName>
    <definedName name="Total_Payment___5___0_3_1" localSheetId="3">Scheduled_Payment+Extra_Payment</definedName>
    <definedName name="Total_Payment___5___0_3_1">Scheduled_Payment+Extra_Payment</definedName>
    <definedName name="Total_Payment___5___0_4" localSheetId="3">Scheduled_Payment+Extra_Payment</definedName>
    <definedName name="Total_Payment___5___0_4">Scheduled_Payment+Extra_Payment</definedName>
    <definedName name="Total_Payment___5___0_4_1" localSheetId="3">Scheduled_Payment+Extra_Payment</definedName>
    <definedName name="Total_Payment___5___0_4_1">Scheduled_Payment+Extra_Payment</definedName>
    <definedName name="Total_Payment___5___0_5" localSheetId="3">Scheduled_Payment+Extra_Payment</definedName>
    <definedName name="Total_Payment___5___0_5">Scheduled_Payment+Extra_Payment</definedName>
    <definedName name="Total_Payment___5___0_5_1" localSheetId="3">Scheduled_Payment+Extra_Payment</definedName>
    <definedName name="Total_Payment___5___0_5_1">Scheduled_Payment+Extra_Payment</definedName>
    <definedName name="Total_Payment___5___0_7" localSheetId="3">Scheduled_Payment+Extra_Payment</definedName>
    <definedName name="Total_Payment___5___0_7">Scheduled_Payment+Extra_Payment</definedName>
    <definedName name="Total_Payment___5___0_7_1" localSheetId="3">Scheduled_Payment+Extra_Payment</definedName>
    <definedName name="Total_Payment___5___0_7_1">Scheduled_Payment+Extra_Payment</definedName>
    <definedName name="Total_Payment___5___0_8" localSheetId="3">Scheduled_Payment+Extra_Payment</definedName>
    <definedName name="Total_Payment___5___0_8">Scheduled_Payment+Extra_Payment</definedName>
    <definedName name="Total_Payment___5___0_9" localSheetId="3">Scheduled_Payment+Extra_Payment</definedName>
    <definedName name="Total_Payment___5___0_9">Scheduled_Payment+Extra_Payment</definedName>
    <definedName name="Total_Payment___5___0_9_1" localSheetId="3">Scheduled_Payment+Extra_Payment</definedName>
    <definedName name="Total_Payment___5___0_9_1">Scheduled_Payment+Extra_Payment</definedName>
    <definedName name="Total_Payment___5_1" localSheetId="3">Scheduled_Payment+Extra_Payment</definedName>
    <definedName name="Total_Payment___5_1">Scheduled_Payment+Extra_Payment</definedName>
    <definedName name="Total_Payment___5_1_1" localSheetId="3">Scheduled_Payment+Extra_Payment</definedName>
    <definedName name="Total_Payment___5_1_1">Scheduled_Payment+Extra_Payment</definedName>
    <definedName name="Total_Payment___5_10" localSheetId="3">Scheduled_Payment+Extra_Payment</definedName>
    <definedName name="Total_Payment___5_10">Scheduled_Payment+Extra_Payment</definedName>
    <definedName name="Total_Payment___5_10_1" localSheetId="3">Scheduled_Payment+Extra_Payment</definedName>
    <definedName name="Total_Payment___5_10_1">Scheduled_Payment+Extra_Payment</definedName>
    <definedName name="Total_Payment___5_11" localSheetId="3">Scheduled_Payment+Extra_Payment</definedName>
    <definedName name="Total_Payment___5_11">Scheduled_Payment+Extra_Payment</definedName>
    <definedName name="Total_Payment___5_11_1" localSheetId="3">Scheduled_Payment+Extra_Payment</definedName>
    <definedName name="Total_Payment___5_11_1">Scheduled_Payment+Extra_Payment</definedName>
    <definedName name="Total_Payment___5_12" localSheetId="3">Scheduled_Payment+Extra_Payment</definedName>
    <definedName name="Total_Payment___5_12">Scheduled_Payment+Extra_Payment</definedName>
    <definedName name="Total_Payment___5_12_1" localSheetId="3">Scheduled_Payment+Extra_Payment</definedName>
    <definedName name="Total_Payment___5_12_1">Scheduled_Payment+Extra_Payment</definedName>
    <definedName name="Total_Payment___5_13" localSheetId="3">Scheduled_Payment+Extra_Payment</definedName>
    <definedName name="Total_Payment___5_13">Scheduled_Payment+Extra_Payment</definedName>
    <definedName name="Total_Payment___5_13_1" localSheetId="3">Scheduled_Payment+Extra_Payment</definedName>
    <definedName name="Total_Payment___5_13_1">Scheduled_Payment+Extra_Payment</definedName>
    <definedName name="Total_Payment___5_2" localSheetId="3">Scheduled_Payment+Extra_Payment</definedName>
    <definedName name="Total_Payment___5_2">Scheduled_Payment+Extra_Payment</definedName>
    <definedName name="Total_Payment___5_2_1" localSheetId="3">Scheduled_Payment+Extra_Payment</definedName>
    <definedName name="Total_Payment___5_2_1">Scheduled_Payment+Extra_Payment</definedName>
    <definedName name="Total_Payment___5_3" localSheetId="3">Scheduled_Payment+Extra_Payment</definedName>
    <definedName name="Total_Payment___5_3">Scheduled_Payment+Extra_Payment</definedName>
    <definedName name="Total_Payment___5_3_1" localSheetId="3">Scheduled_Payment+Extra_Payment</definedName>
    <definedName name="Total_Payment___5_3_1">Scheduled_Payment+Extra_Payment</definedName>
    <definedName name="Total_Payment___5_4" localSheetId="3">Scheduled_Payment+Extra_Payment</definedName>
    <definedName name="Total_Payment___5_4">Scheduled_Payment+Extra_Payment</definedName>
    <definedName name="Total_Payment___5_4_1" localSheetId="3">Scheduled_Payment+Extra_Payment</definedName>
    <definedName name="Total_Payment___5_4_1">Scheduled_Payment+Extra_Payment</definedName>
    <definedName name="Total_Payment___5_5" localSheetId="3">Scheduled_Payment+Extra_Payment</definedName>
    <definedName name="Total_Payment___5_5">Scheduled_Payment+Extra_Payment</definedName>
    <definedName name="Total_Payment___5_5_1" localSheetId="3">Scheduled_Payment+Extra_Payment</definedName>
    <definedName name="Total_Payment___5_5_1">Scheduled_Payment+Extra_Payment</definedName>
    <definedName name="Total_Payment___5_7" localSheetId="3">Scheduled_Payment+Extra_Payment</definedName>
    <definedName name="Total_Payment___5_7">Scheduled_Payment+Extra_Payment</definedName>
    <definedName name="Total_Payment___5_7_1" localSheetId="3">Scheduled_Payment+Extra_Payment</definedName>
    <definedName name="Total_Payment___5_7_1">Scheduled_Payment+Extra_Payment</definedName>
    <definedName name="Total_Payment___5_8" localSheetId="3">Scheduled_Payment+Extra_Payment</definedName>
    <definedName name="Total_Payment___5_8">Scheduled_Payment+Extra_Payment</definedName>
    <definedName name="Total_Payment___5_9" localSheetId="3">Scheduled_Payment+Extra_Payment</definedName>
    <definedName name="Total_Payment___5_9">Scheduled_Payment+Extra_Payment</definedName>
    <definedName name="Total_Payment___5_9_1" localSheetId="3">Scheduled_Payment+Extra_Payment</definedName>
    <definedName name="Total_Payment___5_9_1">Scheduled_Payment+Extra_Payment</definedName>
    <definedName name="Total_Payment___6" localSheetId="3">Scheduled_Payment+Extra_Payment</definedName>
    <definedName name="Total_Payment___6">Scheduled_Payment+Extra_Payment</definedName>
    <definedName name="Total_Payment___7" localSheetId="3">Scheduled_Payment+Extra_Payment</definedName>
    <definedName name="Total_Payment___7">Scheduled_Payment+Extra_Payment</definedName>
    <definedName name="Total_Payment___8" localSheetId="3">Scheduled_Payment+Extra_Payment</definedName>
    <definedName name="Total_Payment___8">Scheduled_Payment+Extra_Payment</definedName>
    <definedName name="Total_Payment___9" localSheetId="3">Scheduled_Payment+Extra_Payment</definedName>
    <definedName name="Total_Payment___9">Scheduled_Payment+Extra_Payment</definedName>
    <definedName name="Total_Payment_1" localSheetId="3">Scheduled_Payment+Extra_Payment</definedName>
    <definedName name="Total_Payment_1">Scheduled_Payment+Extra_Payment</definedName>
    <definedName name="Total_Payment_1_1" localSheetId="3">Scheduled_Payment+Extra_Payment</definedName>
    <definedName name="Total_Payment_1_1">Scheduled_Payment+Extra_Payment</definedName>
    <definedName name="Total_Payment_10" localSheetId="3">Scheduled_Payment+Extra_Payment</definedName>
    <definedName name="Total_Payment_10">Scheduled_Payment+Extra_Payment</definedName>
    <definedName name="Total_Payment_10_1" localSheetId="3">Scheduled_Payment+Extra_Payment</definedName>
    <definedName name="Total_Payment_10_1">Scheduled_Payment+Extra_Payment</definedName>
    <definedName name="Total_Payment_11" localSheetId="3">Scheduled_Payment+Extra_Payment</definedName>
    <definedName name="Total_Payment_11">Scheduled_Payment+Extra_Payment</definedName>
    <definedName name="Total_Payment_11_1">NA()</definedName>
    <definedName name="Total_Payment_12" localSheetId="3">Scheduled_Payment+Extra_Payment</definedName>
    <definedName name="Total_Payment_12">Scheduled_Payment+Extra_Payment</definedName>
    <definedName name="Total_Payment_12_1" localSheetId="3">Scheduled_Payment+Extra_Payment</definedName>
    <definedName name="Total_Payment_12_1">Scheduled_Payment+Extra_Payment</definedName>
    <definedName name="Total_Payment_13" localSheetId="3">Scheduled_Payment+Extra_Payment</definedName>
    <definedName name="Total_Payment_13">Scheduled_Payment+Extra_Payment</definedName>
    <definedName name="Total_Payment_13_1" localSheetId="3">Scheduled_Payment+Extra_Payment</definedName>
    <definedName name="Total_Payment_13_1">Scheduled_Payment+Extra_Payment</definedName>
    <definedName name="Total_Payment_2" localSheetId="3">Scheduled_Payment+Extra_Payment</definedName>
    <definedName name="Total_Payment_2">Scheduled_Payment+Extra_Payment</definedName>
    <definedName name="Total_Payment_2_1" localSheetId="3">Scheduled_Payment+Extra_Payment</definedName>
    <definedName name="Total_Payment_2_1">Scheduled_Payment+Extra_Payment</definedName>
    <definedName name="Total_Payment_3" localSheetId="3">Scheduled_Payment+Extra_Payment</definedName>
    <definedName name="Total_Payment_3">Scheduled_Payment+Extra_Payment</definedName>
    <definedName name="Total_Payment_3_1" localSheetId="3">Scheduled_Payment+Extra_Payment</definedName>
    <definedName name="Total_Payment_3_1">Scheduled_Payment+Extra_Payment</definedName>
    <definedName name="Total_Payment_4" localSheetId="3">Scheduled_Payment+Extra_Payment</definedName>
    <definedName name="Total_Payment_4">Scheduled_Payment+Extra_Payment</definedName>
    <definedName name="Total_Payment_4_1" localSheetId="3">Scheduled_Payment+Extra_Payment</definedName>
    <definedName name="Total_Payment_4_1">Scheduled_Payment+Extra_Payment</definedName>
    <definedName name="Total_Payment_5" localSheetId="3">Scheduled_Payment+Extra_Payment</definedName>
    <definedName name="Total_Payment_5">Scheduled_Payment+Extra_Payment</definedName>
    <definedName name="Total_Payment_5_1" localSheetId="3">Scheduled_Payment+Extra_Payment</definedName>
    <definedName name="Total_Payment_5_1">Scheduled_Payment+Extra_Payment</definedName>
    <definedName name="Total_Payment_7" localSheetId="3">Scheduled_Payment+Extra_Payment</definedName>
    <definedName name="Total_Payment_7">Scheduled_Payment+Extra_Payment</definedName>
    <definedName name="Total_Payment_7_1" localSheetId="3">Scheduled_Payment+Extra_Payment</definedName>
    <definedName name="Total_Payment_7_1">Scheduled_Payment+Extra_Payment</definedName>
    <definedName name="Total_Payment_8" localSheetId="3">Scheduled_Payment+Extra_Payment</definedName>
    <definedName name="Total_Payment_8">Scheduled_Payment+Extra_Payment</definedName>
    <definedName name="Total_Payment_9" localSheetId="3">Scheduled_Payment+Extra_Payment</definedName>
    <definedName name="Total_Payment_9">Scheduled_Payment+Extra_Payment</definedName>
    <definedName name="Total_Payment_9_1" localSheetId="3">Scheduled_Payment+Extra_Payment</definedName>
    <definedName name="Total_Payment_9_1">Scheduled_Payment+Extra_Payment</definedName>
    <definedName name="Total_Unit" hidden="1">IF((#REF!+#REF!+#REF!)-INT(#REF!+#REF!+#REF!)&gt;0,TEXT(ROUND((#REF!+#REF!+#REF!),2),"#,##0.#0"),ROUND(#REF!+#REF!+#REF!,2))</definedName>
    <definedName name="Total3">#REF!</definedName>
    <definedName name="TotalMe">#REF!</definedName>
    <definedName name="TOTALSTRU">#REF!</definedName>
    <definedName name="TOYOTA" hidden="1">{#N/A,#N/A,TRUE,"Str.";#N/A,#N/A,TRUE,"Steel &amp; Roof";#N/A,#N/A,TRUE,"Arc.";#N/A,#N/A,TRUE,"Preliminary";#N/A,#N/A,TRUE,"Sum_Prelim"}</definedName>
    <definedName name="tr" hidden="1">#REF!</definedName>
    <definedName name="tretert" hidden="1">{#N/A,#N/A,TRUE,"SUM";#N/A,#N/A,TRUE,"EE";#N/A,#N/A,TRUE,"AC";#N/A,#N/A,TRUE,"SN"}</definedName>
    <definedName name="TRL">#REF!</definedName>
    <definedName name="tsnbe2" hidden="1">{"PLANT BREAKUP",#N/A,FALSE,"E"}</definedName>
    <definedName name="tt">#REF!</definedName>
    <definedName name="TT1.1">#REF!</definedName>
    <definedName name="TT1.2">#REF!</definedName>
    <definedName name="TT1.3">#REF!</definedName>
    <definedName name="TT1.4">#REF!</definedName>
    <definedName name="TT1.5">#REF!</definedName>
    <definedName name="TT1.6">#REF!</definedName>
    <definedName name="TT1.7">#REF!</definedName>
    <definedName name="TT1.8">#REF!</definedName>
    <definedName name="TT1.9">#REF!</definedName>
    <definedName name="ttt">#REF!</definedName>
    <definedName name="ttttttt" hidden="1">#REF!</definedName>
    <definedName name="tttttttttttttttt" hidden="1">#REF!</definedName>
    <definedName name="twet" hidden="1">{#N/A,#N/A,TRUE,"SUM";#N/A,#N/A,TRUE,"EE";#N/A,#N/A,TRUE,"AC";#N/A,#N/A,TRUE,"SN"}</definedName>
    <definedName name="twowire">#REF!</definedName>
    <definedName name="ty">#REF!</definedName>
    <definedName name="tyhyh" hidden="1">{"conso",#N/A,FALSE,"cash flow"}</definedName>
    <definedName name="type" hidden="1">#REF!</definedName>
    <definedName name="tyr" hidden="1">#REF!</definedName>
    <definedName name="tyt" hidden="1">#REF!</definedName>
    <definedName name="tyy" hidden="1">{#N/A,#N/A,FALSE,"Cont Doc_LSV (4)";#N/A,#N/A,FALSE,"Cont Doc_LSV (5)";#N/A,#N/A,FALSE,"Cont Doc_LSV (6)"}</definedName>
    <definedName name="U_lab">#REF!</definedName>
    <definedName name="U_mat">#REF!</definedName>
    <definedName name="ui" hidden="1">#REF!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ku" hidden="1">{#N/A,#N/A,TRUE,"SUM";#N/A,#N/A,TRUE,"EE";#N/A,#N/A,TRUE,"AC";#N/A,#N/A,TRUE,"SN"}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IF(#REF!="","",VLOOKUP(#REF!,#REF!,3,0))</definedName>
    <definedName name="unit_lab">#REF!</definedName>
    <definedName name="unit_lab___0">#REF!</definedName>
    <definedName name="unit_mat">#REF!</definedName>
    <definedName name="unit_mat___0">#REF!</definedName>
    <definedName name="unit_total">#REF!</definedName>
    <definedName name="unit_total___0">#REF!</definedName>
    <definedName name="unit_w">#REF!</definedName>
    <definedName name="unnamed">"$"</definedName>
    <definedName name="unnamed_1">#REF!</definedName>
    <definedName name="unnamed_1_8">#REF!</definedName>
    <definedName name="up">#REF!</definedName>
    <definedName name="UPL">#REF!</definedName>
    <definedName name="usc">#REF!</definedName>
    <definedName name="USD">#REF!</definedName>
    <definedName name="use">#REF!</definedName>
    <definedName name="utyu">#REF!</definedName>
    <definedName name="uy">#REF!</definedName>
    <definedName name="V">#REF!</definedName>
    <definedName name="v_f" hidden="1">{"'SUMMATION'!$B$2:$I$2"}</definedName>
    <definedName name="V_Vc">#REF!</definedName>
    <definedName name="VAF">NA()</definedName>
    <definedName name="VAF_VCT">NA()</definedName>
    <definedName name="Values_Entered">IF(Loan_Amount*Interest_Rate*Loan_Years*Loan_Start&gt;0,1,0)</definedName>
    <definedName name="Values_Entered___0">IF(Loan_Amount*Interest_Rate*Loan_Years*Loan_Start&gt;0,1,0)</definedName>
    <definedName name="Values_Entered___0___0">IF(Loan_Amount*Interest_Rate*Loan_Years*Loan_Start&gt;0,1,0)</definedName>
    <definedName name="Values_Entered___0___0_1">IF(Loan_Amount*Interest_Rate*Loan_Years*Loan_Start&gt;0,1,0)</definedName>
    <definedName name="Values_Entered___0___0_1_1">IF(Loan_Amount*Interest_Rate_8*Loan_Years_8*Loan_Start&gt;0,1,0)</definedName>
    <definedName name="Values_Entered___0___0_10">IF(Loan_Amount*Interest_Rate*Loan_Years*Loan_Start&gt;0,1,0)</definedName>
    <definedName name="Values_Entered___0___0_10_1">IF(Loan_Amount*Interest_Rate_8*Loan_Years_8*Loan_Start&gt;0,1,0)</definedName>
    <definedName name="Values_Entered___0___0_11">IF(Loan_Amount*Interest_Rate*Loan_Years*Loan_Start&gt;0,1,0)</definedName>
    <definedName name="Values_Entered___0___0_11_1">IF(Loan_Amount*Interest_Rate_8*Loan_Years_8*Loan_Start&gt;0,1,0)</definedName>
    <definedName name="Values_Entered___0___0_12">IF(Loan_Amount*Interest_Rate*Loan_Years*Loan_Start&gt;0,1,0)</definedName>
    <definedName name="Values_Entered___0___0_12_1">IF(Loan_Amount*Interest_Rate_8*Loan_Years_8*Loan_Start&gt;0,1,0)</definedName>
    <definedName name="Values_Entered___0___0_13">IF(Loan_Amount*Interest_Rate*Loan_Years*Loan_Start&gt;0,1,0)</definedName>
    <definedName name="Values_Entered___0___0_13_1">IF(Loan_Amount*Interest_Rate_8*Loan_Years_8*Loan_Start&gt;0,1,0)</definedName>
    <definedName name="Values_Entered___0___0_2">IF(Loan_Amount*Interest_Rate*Loan_Years*Loan_Start&gt;0,1,0)</definedName>
    <definedName name="Values_Entered___0___0_2_1">IF(Loan_Amount*Interest_Rate_8*Loan_Years_8*Loan_Start&gt;0,1,0)</definedName>
    <definedName name="Values_Entered___0___0_3">IF(Loan_Amount*Interest_Rate*Loan_Years*Loan_Start&gt;0,1,0)</definedName>
    <definedName name="Values_Entered___0___0_3_1">IF(Loan_Amount*Interest_Rate_8*Loan_Years_8*Loan_Start&gt;0,1,0)</definedName>
    <definedName name="Values_Entered___0___0_4">IF(Loan_Amount*Interest_Rate*Loan_Years*Loan_Start&gt;0,1,0)</definedName>
    <definedName name="Values_Entered___0___0_4_1">IF(Loan_Amount*Interest_Rate_8*Loan_Years_8*Loan_Start&gt;0,1,0)</definedName>
    <definedName name="Values_Entered___0___0_5">IF(Loan_Amount*Interest_Rate*Loan_Years*Loan_Start&gt;0,1,0)</definedName>
    <definedName name="Values_Entered___0___0_5_1">IF(Loan_Amount*Interest_Rate_8*Loan_Years_8*Loan_Start&gt;0,1,0)</definedName>
    <definedName name="Values_Entered___0___0_7">IF(Loan_Amount*Interest_Rate*Loan_Years*Loan_Start&gt;0,1,0)</definedName>
    <definedName name="Values_Entered___0___0_7_1">IF(Loan_Amount*Interest_Rate_8*Loan_Years_8*Loan_Start&gt;0,1,0)</definedName>
    <definedName name="Values_Entered___0___0_8">IF(Loan_Amount*Interest_Rate_8*Loan_Years_8*Loan_Start&gt;0,1,0)</definedName>
    <definedName name="Values_Entered___0___0_9">IF(Loan_Amount*Interest_Rate*Loan_Years*Loan_Start&gt;0,1,0)</definedName>
    <definedName name="Values_Entered___0___0_9_1">IF(Loan_Amount*Interest_Rate_8*Loan_Years_8*Loan_Start&gt;0,1,0)</definedName>
    <definedName name="Values_Entered___0___6">IF(Loan_Amount*Interest_Rate*Loan_Years*Loan_Start&gt;0,1,0)</definedName>
    <definedName name="Values_Entered___0___6_1">IF(Loan_Amount*Interest_Rate*Loan_Years*Loan_Start&gt;0,1,0)</definedName>
    <definedName name="Values_Entered___0___6_1_1">IF(Loan_Amount*Interest_Rate_8*Loan_Years_8*Loan_Start&gt;0,1,0)</definedName>
    <definedName name="Values_Entered___0___6_10">IF(Loan_Amount*Interest_Rate*Loan_Years*Loan_Start&gt;0,1,0)</definedName>
    <definedName name="Values_Entered___0___6_10_1">IF(Loan_Amount*Interest_Rate_8*Loan_Years_8*Loan_Start&gt;0,1,0)</definedName>
    <definedName name="Values_Entered___0___6_11">IF(Loan_Amount*Interest_Rate*Loan_Years*Loan_Start&gt;0,1,0)</definedName>
    <definedName name="Values_Entered___0___6_11_1">IF(Loan_Amount*Interest_Rate_8*Loan_Years_8*Loan_Start&gt;0,1,0)</definedName>
    <definedName name="Values_Entered___0___6_12">IF(Loan_Amount*Interest_Rate*Loan_Years*Loan_Start&gt;0,1,0)</definedName>
    <definedName name="Values_Entered___0___6_12_1">IF(Loan_Amount*Interest_Rate_8*Loan_Years_8*Loan_Start&gt;0,1,0)</definedName>
    <definedName name="Values_Entered___0___6_13">IF(Loan_Amount*Interest_Rate*Loan_Years*Loan_Start&gt;0,1,0)</definedName>
    <definedName name="Values_Entered___0___6_13_1">IF(Loan_Amount*Interest_Rate_8*Loan_Years_8*Loan_Start&gt;0,1,0)</definedName>
    <definedName name="Values_Entered___0___6_2">IF(Loan_Amount*Interest_Rate*Loan_Years*Loan_Start&gt;0,1,0)</definedName>
    <definedName name="Values_Entered___0___6_2_1">IF(Loan_Amount*Interest_Rate_8*Loan_Years_8*Loan_Start&gt;0,1,0)</definedName>
    <definedName name="Values_Entered___0___6_3">IF(Loan_Amount*Interest_Rate*Loan_Years*Loan_Start&gt;0,1,0)</definedName>
    <definedName name="Values_Entered___0___6_3_1">IF(Loan_Amount*Interest_Rate_8*Loan_Years_8*Loan_Start&gt;0,1,0)</definedName>
    <definedName name="Values_Entered___0___6_4">IF(Loan_Amount*Interest_Rate*Loan_Years*Loan_Start&gt;0,1,0)</definedName>
    <definedName name="Values_Entered___0___6_4_1">IF(Loan_Amount*Interest_Rate_8*Loan_Years_8*Loan_Start&gt;0,1,0)</definedName>
    <definedName name="Values_Entered___0___6_5">IF(Loan_Amount*Interest_Rate*Loan_Years*Loan_Start&gt;0,1,0)</definedName>
    <definedName name="Values_Entered___0___6_5_1">IF(Loan_Amount*Interest_Rate_8*Loan_Years_8*Loan_Start&gt;0,1,0)</definedName>
    <definedName name="Values_Entered___0___6_7">IF(Loan_Amount*Interest_Rate*Loan_Years*Loan_Start&gt;0,1,0)</definedName>
    <definedName name="Values_Entered___0___6_7_1">IF(Loan_Amount*Interest_Rate_8*Loan_Years_8*Loan_Start&gt;0,1,0)</definedName>
    <definedName name="Values_Entered___0___6_8">IF(Loan_Amount*Interest_Rate_8*Loan_Years_8*Loan_Start&gt;0,1,0)</definedName>
    <definedName name="Values_Entered___0___6_9">IF(Loan_Amount*Interest_Rate*Loan_Years*Loan_Start&gt;0,1,0)</definedName>
    <definedName name="Values_Entered___0___6_9_1">IF(Loan_Amount*Interest_Rate_8*Loan_Years_8*Loan_Start&gt;0,1,0)</definedName>
    <definedName name="Values_Entered___0_1">IF(Loan_Amount*Interest_Rate*Loan_Years*Loan_Start&gt;0,1,0)</definedName>
    <definedName name="Values_Entered___0_1_1">IF(Loan_Amount*Interest_Rate_8*Loan_Years_8*Loan_Start&gt;0,1,0)</definedName>
    <definedName name="Values_Entered___0_10">IF(Loan_Amount*Interest_Rate*Loan_Years*Loan_Start&gt;0,1,0)</definedName>
    <definedName name="Values_Entered___0_10_1">IF(Loan_Amount*Interest_Rate_8*Loan_Years_8*Loan_Start&gt;0,1,0)</definedName>
    <definedName name="Values_Entered___0_11">IF(Loan_Amount*Interest_Rate*Loan_Years*Loan_Start&gt;0,1,0)</definedName>
    <definedName name="Values_Entered___0_11_1">IF(Loan_Amount*Interest_Rate_8*Loan_Years_8*Loan_Start&gt;0,1,0)</definedName>
    <definedName name="Values_Entered___0_12">IF(Loan_Amount*Interest_Rate*Loan_Years*Loan_Start&gt;0,1,0)</definedName>
    <definedName name="Values_Entered___0_12_1">IF(Loan_Amount*Interest_Rate_8*Loan_Years_8*Loan_Start&gt;0,1,0)</definedName>
    <definedName name="Values_Entered___0_13">IF(Loan_Amount*Interest_Rate*Loan_Years*Loan_Start&gt;0,1,0)</definedName>
    <definedName name="Values_Entered___0_13_1">IF(Loan_Amount*Interest_Rate_8*Loan_Years_8*Loan_Start&gt;0,1,0)</definedName>
    <definedName name="Values_Entered___0_2">IF(Loan_Amount*Interest_Rate*Loan_Years*Loan_Start&gt;0,1,0)</definedName>
    <definedName name="Values_Entered___0_2_1">IF(Loan_Amount*Interest_Rate_8*Loan_Years_8*Loan_Start&gt;0,1,0)</definedName>
    <definedName name="Values_Entered___0_3">IF(Loan_Amount*Interest_Rate*Loan_Years*Loan_Start&gt;0,1,0)</definedName>
    <definedName name="Values_Entered___0_3_1">IF(Loan_Amount*Interest_Rate_8*Loan_Years_8*Loan_Start&gt;0,1,0)</definedName>
    <definedName name="Values_Entered___0_4">IF(Loan_Amount*Interest_Rate*Loan_Years*Loan_Start&gt;0,1,0)</definedName>
    <definedName name="Values_Entered___0_4_1">IF(Loan_Amount*Interest_Rate_8*Loan_Years_8*Loan_Start&gt;0,1,0)</definedName>
    <definedName name="Values_Entered___0_5">IF(Loan_Amount*Interest_Rate*Loan_Years*Loan_Start&gt;0,1,0)</definedName>
    <definedName name="Values_Entered___0_5_1">IF(Loan_Amount*Interest_Rate_8*Loan_Years_8*Loan_Start&gt;0,1,0)</definedName>
    <definedName name="Values_Entered___0_7">IF(Loan_Amount*Interest_Rate*Loan_Years*Loan_Start&gt;0,1,0)</definedName>
    <definedName name="Values_Entered___0_7_1">IF(Loan_Amount*Interest_Rate_8*Loan_Years_8*Loan_Start&gt;0,1,0)</definedName>
    <definedName name="Values_Entered___0_8">IF(Loan_Amount*Interest_Rate_8*Loan_Years_8*Loan_Start&gt;0,1,0)</definedName>
    <definedName name="Values_Entered___0_9">IF(Loan_Amount*Interest_Rate*Loan_Years*Loan_Start&gt;0,1,0)</definedName>
    <definedName name="Values_Entered___0_9_1">IF(Loan_Amount*Interest_Rate_8*Loan_Years_8*Loan_Start&gt;0,1,0)</definedName>
    <definedName name="Values_Entered___10">#N/A</definedName>
    <definedName name="Values_Entered___2">#N/A</definedName>
    <definedName name="Values_Entered___3">IF(Loan_Amount*Interest_Rate*Loan_Years*Loan_Start&gt;0,1,0)</definedName>
    <definedName name="Values_Entered___3___0">IF(Loan_Amount*Interest_Rate*Loan_Years*Loan_Start&gt;0,1,0)</definedName>
    <definedName name="Values_Entered___3___0_1">IF(Loan_Amount*Interest_Rate*Loan_Years*Loan_Start&gt;0,1,0)</definedName>
    <definedName name="Values_Entered___3___0_1_1">IF(Loan_Amount*Interest_Rate_8*Loan_Years_8*Loan_Start&gt;0,1,0)</definedName>
    <definedName name="Values_Entered___3___0_10">IF(Loan_Amount*Interest_Rate*Loan_Years*Loan_Start&gt;0,1,0)</definedName>
    <definedName name="Values_Entered___3___0_10_1">IF(Loan_Amount*Interest_Rate_8*Loan_Years_8*Loan_Start&gt;0,1,0)</definedName>
    <definedName name="Values_Entered___3___0_11">IF(Loan_Amount*Interest_Rate*Loan_Years*Loan_Start&gt;0,1,0)</definedName>
    <definedName name="Values_Entered___3___0_11_1">IF(Loan_Amount*Interest_Rate_8*Loan_Years_8*Loan_Start&gt;0,1,0)</definedName>
    <definedName name="Values_Entered___3___0_12">IF(Loan_Amount*Interest_Rate*Loan_Years*Loan_Start&gt;0,1,0)</definedName>
    <definedName name="Values_Entered___3___0_12_1">IF(Loan_Amount*Interest_Rate_8*Loan_Years_8*Loan_Start&gt;0,1,0)</definedName>
    <definedName name="Values_Entered___3___0_13">IF(Loan_Amount*Interest_Rate*Loan_Years*Loan_Start&gt;0,1,0)</definedName>
    <definedName name="Values_Entered___3___0_13_1">IF(Loan_Amount*Interest_Rate_8*Loan_Years_8*Loan_Start&gt;0,1,0)</definedName>
    <definedName name="Values_Entered___3___0_2">IF(Loan_Amount*Interest_Rate*Loan_Years*Loan_Start&gt;0,1,0)</definedName>
    <definedName name="Values_Entered___3___0_2_1">IF(Loan_Amount*Interest_Rate_8*Loan_Years_8*Loan_Start&gt;0,1,0)</definedName>
    <definedName name="Values_Entered___3___0_3">IF(Loan_Amount*Interest_Rate*Loan_Years*Loan_Start&gt;0,1,0)</definedName>
    <definedName name="Values_Entered___3___0_3_1">IF(Loan_Amount*Interest_Rate_8*Loan_Years_8*Loan_Start&gt;0,1,0)</definedName>
    <definedName name="Values_Entered___3___0_4">IF(Loan_Amount*Interest_Rate*Loan_Years*Loan_Start&gt;0,1,0)</definedName>
    <definedName name="Values_Entered___3___0_4_1">IF(Loan_Amount*Interest_Rate_8*Loan_Years_8*Loan_Start&gt;0,1,0)</definedName>
    <definedName name="Values_Entered___3___0_5">IF(Loan_Amount*Interest_Rate*Loan_Years*Loan_Start&gt;0,1,0)</definedName>
    <definedName name="Values_Entered___3___0_5_1">IF(Loan_Amount*Interest_Rate_8*Loan_Years_8*Loan_Start&gt;0,1,0)</definedName>
    <definedName name="Values_Entered___3___0_7">IF(Loan_Amount*Interest_Rate*Loan_Years*Loan_Start&gt;0,1,0)</definedName>
    <definedName name="Values_Entered___3___0_7_1">IF(Loan_Amount*Interest_Rate_8*Loan_Years_8*Loan_Start&gt;0,1,0)</definedName>
    <definedName name="Values_Entered___3___0_8">IF(Loan_Amount*Interest_Rate_8*Loan_Years_8*Loan_Start&gt;0,1,0)</definedName>
    <definedName name="Values_Entered___3___0_9">IF(Loan_Amount*Interest_Rate*Loan_Years*Loan_Start&gt;0,1,0)</definedName>
    <definedName name="Values_Entered___3___0_9_1">IF(Loan_Amount*Interest_Rate_8*Loan_Years_8*Loan_Start&gt;0,1,0)</definedName>
    <definedName name="Values_Entered___3_1">IF(Loan_Amount*Interest_Rate*Loan_Years*Loan_Start&gt;0,1,0)</definedName>
    <definedName name="Values_Entered___3_1_1">IF(Loan_Amount*Interest_Rate_8*Loan_Years_8*Loan_Start&gt;0,1,0)</definedName>
    <definedName name="Values_Entered___3_10">IF(Loan_Amount*Interest_Rate*Loan_Years*Loan_Start&gt;0,1,0)</definedName>
    <definedName name="Values_Entered___3_10_1">IF(Loan_Amount*Interest_Rate_8*Loan_Years_8*Loan_Start&gt;0,1,0)</definedName>
    <definedName name="Values_Entered___3_11">IF(Loan_Amount*Interest_Rate*Loan_Years*Loan_Start&gt;0,1,0)</definedName>
    <definedName name="Values_Entered___3_11_1">IF(Loan_Amount*Interest_Rate_8*Loan_Years_8*Loan_Start&gt;0,1,0)</definedName>
    <definedName name="Values_Entered___3_12">IF(Loan_Amount*Interest_Rate*Loan_Years*Loan_Start&gt;0,1,0)</definedName>
    <definedName name="Values_Entered___3_12_1">IF(Loan_Amount*Interest_Rate_8*Loan_Years_8*Loan_Start&gt;0,1,0)</definedName>
    <definedName name="Values_Entered___3_13">IF(Loan_Amount*Interest_Rate*Loan_Years*Loan_Start&gt;0,1,0)</definedName>
    <definedName name="Values_Entered___3_13_1">IF(Loan_Amount*Interest_Rate_8*Loan_Years_8*Loan_Start&gt;0,1,0)</definedName>
    <definedName name="Values_Entered___3_2">IF(Loan_Amount*Interest_Rate*Loan_Years*Loan_Start&gt;0,1,0)</definedName>
    <definedName name="Values_Entered___3_2_1">IF(Loan_Amount*Interest_Rate_8*Loan_Years_8*Loan_Start&gt;0,1,0)</definedName>
    <definedName name="Values_Entered___3_3">IF(Loan_Amount*Interest_Rate*Loan_Years*Loan_Start&gt;0,1,0)</definedName>
    <definedName name="Values_Entered___3_3_1">IF(Loan_Amount*Interest_Rate_8*Loan_Years_8*Loan_Start&gt;0,1,0)</definedName>
    <definedName name="Values_Entered___3_4">IF(Loan_Amount*Interest_Rate*Loan_Years*Loan_Start&gt;0,1,0)</definedName>
    <definedName name="Values_Entered___3_4_1">IF(Loan_Amount*Interest_Rate_8*Loan_Years_8*Loan_Start&gt;0,1,0)</definedName>
    <definedName name="Values_Entered___3_5">IF(Loan_Amount*Interest_Rate*Loan_Years*Loan_Start&gt;0,1,0)</definedName>
    <definedName name="Values_Entered___3_5_1">IF(Loan_Amount*Interest_Rate_8*Loan_Years_8*Loan_Start&gt;0,1,0)</definedName>
    <definedName name="Values_Entered___3_7">IF(Loan_Amount*Interest_Rate*Loan_Years*Loan_Start&gt;0,1,0)</definedName>
    <definedName name="Values_Entered___3_7_1">IF(Loan_Amount*Interest_Rate_8*Loan_Years_8*Loan_Start&gt;0,1,0)</definedName>
    <definedName name="Values_Entered___3_8">IF(Loan_Amount*Interest_Rate_8*Loan_Years_8*Loan_Start&gt;0,1,0)</definedName>
    <definedName name="Values_Entered___3_9">IF(Loan_Amount*Interest_Rate*Loan_Years*Loan_Start&gt;0,1,0)</definedName>
    <definedName name="Values_Entered___3_9_1">IF(Loan_Amount*Interest_Rate_8*Loan_Years_8*Loan_Start&gt;0,1,0)</definedName>
    <definedName name="Values_Entered___4">IF(Loan_Amount*Interest_Rate*Loan_Years*Loan_Start&gt;0,1,0)</definedName>
    <definedName name="Values_Entered___4___0">IF(Loan_Amount*Interest_Rate*Loan_Years*Loan_Start&gt;0,1,0)</definedName>
    <definedName name="Values_Entered___4___0_1">IF(Loan_Amount*Interest_Rate*Loan_Years*Loan_Start&gt;0,1,0)</definedName>
    <definedName name="Values_Entered___4___0_1_1">IF(Loan_Amount*Interest_Rate_8*Loan_Years_8*Loan_Start&gt;0,1,0)</definedName>
    <definedName name="Values_Entered___4___0_10">IF(Loan_Amount*Interest_Rate*Loan_Years*Loan_Start&gt;0,1,0)</definedName>
    <definedName name="Values_Entered___4___0_10_1">IF(Loan_Amount*Interest_Rate_8*Loan_Years_8*Loan_Start&gt;0,1,0)</definedName>
    <definedName name="Values_Entered___4___0_11">IF(Loan_Amount*Interest_Rate*Loan_Years*Loan_Start&gt;0,1,0)</definedName>
    <definedName name="Values_Entered___4___0_11_1">IF(Loan_Amount*Interest_Rate_8*Loan_Years_8*Loan_Start&gt;0,1,0)</definedName>
    <definedName name="Values_Entered___4___0_12">IF(Loan_Amount*Interest_Rate*Loan_Years*Loan_Start&gt;0,1,0)</definedName>
    <definedName name="Values_Entered___4___0_12_1">IF(Loan_Amount*Interest_Rate_8*Loan_Years_8*Loan_Start&gt;0,1,0)</definedName>
    <definedName name="Values_Entered___4___0_13">IF(Loan_Amount*Interest_Rate*Loan_Years*Loan_Start&gt;0,1,0)</definedName>
    <definedName name="Values_Entered___4___0_13_1">IF(Loan_Amount*Interest_Rate_8*Loan_Years_8*Loan_Start&gt;0,1,0)</definedName>
    <definedName name="Values_Entered___4___0_2">IF(Loan_Amount*Interest_Rate*Loan_Years*Loan_Start&gt;0,1,0)</definedName>
    <definedName name="Values_Entered___4___0_2_1">IF(Loan_Amount*Interest_Rate_8*Loan_Years_8*Loan_Start&gt;0,1,0)</definedName>
    <definedName name="Values_Entered___4___0_3">IF(Loan_Amount*Interest_Rate*Loan_Years*Loan_Start&gt;0,1,0)</definedName>
    <definedName name="Values_Entered___4___0_3_1">IF(Loan_Amount*Interest_Rate_8*Loan_Years_8*Loan_Start&gt;0,1,0)</definedName>
    <definedName name="Values_Entered___4___0_4">IF(Loan_Amount*Interest_Rate*Loan_Years*Loan_Start&gt;0,1,0)</definedName>
    <definedName name="Values_Entered___4___0_4_1">IF(Loan_Amount*Interest_Rate_8*Loan_Years_8*Loan_Start&gt;0,1,0)</definedName>
    <definedName name="Values_Entered___4___0_5">IF(Loan_Amount*Interest_Rate*Loan_Years*Loan_Start&gt;0,1,0)</definedName>
    <definedName name="Values_Entered___4___0_5_1">IF(Loan_Amount*Interest_Rate_8*Loan_Years_8*Loan_Start&gt;0,1,0)</definedName>
    <definedName name="Values_Entered___4___0_7">IF(Loan_Amount*Interest_Rate*Loan_Years*Loan_Start&gt;0,1,0)</definedName>
    <definedName name="Values_Entered___4___0_7_1">IF(Loan_Amount*Interest_Rate_8*Loan_Years_8*Loan_Start&gt;0,1,0)</definedName>
    <definedName name="Values_Entered___4___0_8">IF(Loan_Amount*Interest_Rate_8*Loan_Years_8*Loan_Start&gt;0,1,0)</definedName>
    <definedName name="Values_Entered___4___0_9">IF(Loan_Amount*Interest_Rate*Loan_Years*Loan_Start&gt;0,1,0)</definedName>
    <definedName name="Values_Entered___4___0_9_1">IF(Loan_Amount*Interest_Rate_8*Loan_Years_8*Loan_Start&gt;0,1,0)</definedName>
    <definedName name="Values_Entered___4_1">IF(Loan_Amount*Interest_Rate*Loan_Years*Loan_Start&gt;0,1,0)</definedName>
    <definedName name="Values_Entered___4_1_1">IF(Loan_Amount*Interest_Rate_8*Loan_Years_8*Loan_Start&gt;0,1,0)</definedName>
    <definedName name="Values_Entered___4_10">IF(Loan_Amount*Interest_Rate*Loan_Years*Loan_Start&gt;0,1,0)</definedName>
    <definedName name="Values_Entered___4_10_1">IF(Loan_Amount*Interest_Rate_8*Loan_Years_8*Loan_Start&gt;0,1,0)</definedName>
    <definedName name="Values_Entered___4_11">IF(Loan_Amount*Interest_Rate*Loan_Years*Loan_Start&gt;0,1,0)</definedName>
    <definedName name="Values_Entered___4_11_1">IF(Loan_Amount*Interest_Rate_8*Loan_Years_8*Loan_Start&gt;0,1,0)</definedName>
    <definedName name="Values_Entered___4_12">IF(Loan_Amount*Interest_Rate*Loan_Years*Loan_Start&gt;0,1,0)</definedName>
    <definedName name="Values_Entered___4_12_1">IF(Loan_Amount*Interest_Rate_8*Loan_Years_8*Loan_Start&gt;0,1,0)</definedName>
    <definedName name="Values_Entered___4_13">IF(Loan_Amount*Interest_Rate*Loan_Years*Loan_Start&gt;0,1,0)</definedName>
    <definedName name="Values_Entered___4_13_1">IF(Loan_Amount*Interest_Rate_8*Loan_Years_8*Loan_Start&gt;0,1,0)</definedName>
    <definedName name="Values_Entered___4_2">IF(Loan_Amount*Interest_Rate*Loan_Years*Loan_Start&gt;0,1,0)</definedName>
    <definedName name="Values_Entered___4_2_1">IF(Loan_Amount*Interest_Rate_8*Loan_Years_8*Loan_Start&gt;0,1,0)</definedName>
    <definedName name="Values_Entered___4_3">IF(Loan_Amount*Interest_Rate*Loan_Years*Loan_Start&gt;0,1,0)</definedName>
    <definedName name="Values_Entered___4_3_1">IF(Loan_Amount*Interest_Rate_8*Loan_Years_8*Loan_Start&gt;0,1,0)</definedName>
    <definedName name="Values_Entered___4_4">IF(Loan_Amount*Interest_Rate*Loan_Years*Loan_Start&gt;0,1,0)</definedName>
    <definedName name="Values_Entered___4_4_1">IF(Loan_Amount*Interest_Rate_8*Loan_Years_8*Loan_Start&gt;0,1,0)</definedName>
    <definedName name="Values_Entered___4_5">IF(Loan_Amount*Interest_Rate*Loan_Years*Loan_Start&gt;0,1,0)</definedName>
    <definedName name="Values_Entered___4_5_1">IF(Loan_Amount*Interest_Rate_8*Loan_Years_8*Loan_Start&gt;0,1,0)</definedName>
    <definedName name="Values_Entered___4_7">IF(Loan_Amount*Interest_Rate*Loan_Years*Loan_Start&gt;0,1,0)</definedName>
    <definedName name="Values_Entered___4_7_1">IF(Loan_Amount*Interest_Rate_8*Loan_Years_8*Loan_Start&gt;0,1,0)</definedName>
    <definedName name="Values_Entered___4_8">IF(Loan_Amount*Interest_Rate_8*Loan_Years_8*Loan_Start&gt;0,1,0)</definedName>
    <definedName name="Values_Entered___4_9">IF(Loan_Amount*Interest_Rate*Loan_Years*Loan_Start&gt;0,1,0)</definedName>
    <definedName name="Values_Entered___4_9_1">IF(Loan_Amount*Interest_Rate_8*Loan_Years_8*Loan_Start&gt;0,1,0)</definedName>
    <definedName name="Values_Entered___5">IF(Loan_Amount*Interest_Rate*Loan_Years*Loan_Start&gt;0,1,0)</definedName>
    <definedName name="Values_Entered___5___0">IF(Loan_Amount*Interest_Rate*Loan_Years*Loan_Start&gt;0,1,0)</definedName>
    <definedName name="Values_Entered___5___0_1">IF(Loan_Amount*Interest_Rate*Loan_Years*Loan_Start&gt;0,1,0)</definedName>
    <definedName name="Values_Entered___5___0_1_1">IF(Loan_Amount*Interest_Rate_8*Loan_Years_8*Loan_Start&gt;0,1,0)</definedName>
    <definedName name="Values_Entered___5___0_10">IF(Loan_Amount*Interest_Rate*Loan_Years*Loan_Start&gt;0,1,0)</definedName>
    <definedName name="Values_Entered___5___0_10_1">IF(Loan_Amount*Interest_Rate_8*Loan_Years_8*Loan_Start&gt;0,1,0)</definedName>
    <definedName name="Values_Entered___5___0_11">IF(Loan_Amount*Interest_Rate*Loan_Years*Loan_Start&gt;0,1,0)</definedName>
    <definedName name="Values_Entered___5___0_11_1">IF(Loan_Amount*Interest_Rate_8*Loan_Years_8*Loan_Start&gt;0,1,0)</definedName>
    <definedName name="Values_Entered___5___0_12">IF(Loan_Amount*Interest_Rate*Loan_Years*Loan_Start&gt;0,1,0)</definedName>
    <definedName name="Values_Entered___5___0_12_1">IF(Loan_Amount*Interest_Rate_8*Loan_Years_8*Loan_Start&gt;0,1,0)</definedName>
    <definedName name="Values_Entered___5___0_13">IF(Loan_Amount*Interest_Rate*Loan_Years*Loan_Start&gt;0,1,0)</definedName>
    <definedName name="Values_Entered___5___0_13_1">IF(Loan_Amount*Interest_Rate_8*Loan_Years_8*Loan_Start&gt;0,1,0)</definedName>
    <definedName name="Values_Entered___5___0_2">IF(Loan_Amount*Interest_Rate*Loan_Years*Loan_Start&gt;0,1,0)</definedName>
    <definedName name="Values_Entered___5___0_2_1">IF(Loan_Amount*Interest_Rate_8*Loan_Years_8*Loan_Start&gt;0,1,0)</definedName>
    <definedName name="Values_Entered___5___0_3">IF(Loan_Amount*Interest_Rate*Loan_Years*Loan_Start&gt;0,1,0)</definedName>
    <definedName name="Values_Entered___5___0_3_1">IF(Loan_Amount*Interest_Rate_8*Loan_Years_8*Loan_Start&gt;0,1,0)</definedName>
    <definedName name="Values_Entered___5___0_4">IF(Loan_Amount*Interest_Rate*Loan_Years*Loan_Start&gt;0,1,0)</definedName>
    <definedName name="Values_Entered___5___0_4_1">IF(Loan_Amount*Interest_Rate_8*Loan_Years_8*Loan_Start&gt;0,1,0)</definedName>
    <definedName name="Values_Entered___5___0_5">IF(Loan_Amount*Interest_Rate*Loan_Years*Loan_Start&gt;0,1,0)</definedName>
    <definedName name="Values_Entered___5___0_5_1">IF(Loan_Amount*Interest_Rate_8*Loan_Years_8*Loan_Start&gt;0,1,0)</definedName>
    <definedName name="Values_Entered___5___0_7">IF(Loan_Amount*Interest_Rate*Loan_Years*Loan_Start&gt;0,1,0)</definedName>
    <definedName name="Values_Entered___5___0_7_1">IF(Loan_Amount*Interest_Rate_8*Loan_Years_8*Loan_Start&gt;0,1,0)</definedName>
    <definedName name="Values_Entered___5___0_8">IF(Loan_Amount*Interest_Rate_8*Loan_Years_8*Loan_Start&gt;0,1,0)</definedName>
    <definedName name="Values_Entered___5___0_9">IF(Loan_Amount*Interest_Rate*Loan_Years*Loan_Start&gt;0,1,0)</definedName>
    <definedName name="Values_Entered___5___0_9_1">IF(Loan_Amount*Interest_Rate_8*Loan_Years_8*Loan_Start&gt;0,1,0)</definedName>
    <definedName name="Values_Entered___5_1">IF(Loan_Amount*Interest_Rate*Loan_Years*Loan_Start&gt;0,1,0)</definedName>
    <definedName name="Values_Entered___5_1_1">IF(Loan_Amount*Interest_Rate_8*Loan_Years_8*Loan_Start&gt;0,1,0)</definedName>
    <definedName name="Values_Entered___5_10">IF(Loan_Amount*Interest_Rate*Loan_Years*Loan_Start&gt;0,1,0)</definedName>
    <definedName name="Values_Entered___5_10_1">IF(Loan_Amount*Interest_Rate_8*Loan_Years_8*Loan_Start&gt;0,1,0)</definedName>
    <definedName name="Values_Entered___5_11">IF(Loan_Amount*Interest_Rate*Loan_Years*Loan_Start&gt;0,1,0)</definedName>
    <definedName name="Values_Entered___5_11_1">IF(Loan_Amount*Interest_Rate_8*Loan_Years_8*Loan_Start&gt;0,1,0)</definedName>
    <definedName name="Values_Entered___5_12">IF(Loan_Amount*Interest_Rate*Loan_Years*Loan_Start&gt;0,1,0)</definedName>
    <definedName name="Values_Entered___5_12_1">IF(Loan_Amount*Interest_Rate_8*Loan_Years_8*Loan_Start&gt;0,1,0)</definedName>
    <definedName name="Values_Entered___5_13">IF(Loan_Amount*Interest_Rate*Loan_Years*Loan_Start&gt;0,1,0)</definedName>
    <definedName name="Values_Entered___5_13_1">IF(Loan_Amount*Interest_Rate_8*Loan_Years_8*Loan_Start&gt;0,1,0)</definedName>
    <definedName name="Values_Entered___5_2">IF(Loan_Amount*Interest_Rate*Loan_Years*Loan_Start&gt;0,1,0)</definedName>
    <definedName name="Values_Entered___5_2_1">IF(Loan_Amount*Interest_Rate_8*Loan_Years_8*Loan_Start&gt;0,1,0)</definedName>
    <definedName name="Values_Entered___5_3">IF(Loan_Amount*Interest_Rate*Loan_Years*Loan_Start&gt;0,1,0)</definedName>
    <definedName name="Values_Entered___5_3_1">IF(Loan_Amount*Interest_Rate_8*Loan_Years_8*Loan_Start&gt;0,1,0)</definedName>
    <definedName name="Values_Entered___5_4">IF(Loan_Amount*Interest_Rate*Loan_Years*Loan_Start&gt;0,1,0)</definedName>
    <definedName name="Values_Entered___5_4_1">IF(Loan_Amount*Interest_Rate_8*Loan_Years_8*Loan_Start&gt;0,1,0)</definedName>
    <definedName name="Values_Entered___5_5">IF(Loan_Amount*Interest_Rate*Loan_Years*Loan_Start&gt;0,1,0)</definedName>
    <definedName name="Values_Entered___5_5_1">IF(Loan_Amount*Interest_Rate_8*Loan_Years_8*Loan_Start&gt;0,1,0)</definedName>
    <definedName name="Values_Entered___5_7">IF(Loan_Amount*Interest_Rate*Loan_Years*Loan_Start&gt;0,1,0)</definedName>
    <definedName name="Values_Entered___5_7_1">IF(Loan_Amount*Interest_Rate_8*Loan_Years_8*Loan_Start&gt;0,1,0)</definedName>
    <definedName name="Values_Entered___5_8">IF(Loan_Amount*Interest_Rate_8*Loan_Years_8*Loan_Start&gt;0,1,0)</definedName>
    <definedName name="Values_Entered___5_9">IF(Loan_Amount*Interest_Rate*Loan_Years*Loan_Start&gt;0,1,0)</definedName>
    <definedName name="Values_Entered___5_9_1">IF(Loan_Amount*Interest_Rate_8*Loan_Years_8*Loan_Start&gt;0,1,0)</definedName>
    <definedName name="Values_Entered___6">#N/A</definedName>
    <definedName name="Values_Entered___7">#N/A</definedName>
    <definedName name="Values_Entered___8">#N/A</definedName>
    <definedName name="Values_Entered___9">#N/A</definedName>
    <definedName name="Values_Entered_1">IF(Loan_Amount*Interest_Rate*Loan_Years*Loan_Start&gt;0,1,0)</definedName>
    <definedName name="Values_Entered_1_1">IF(Loan_Amount*Interest_Rate_8*Loan_Years_8*Loan_Start&gt;0,1,0)</definedName>
    <definedName name="Values_Entered_10">IF(Loan_Amount*Interest_Rate*Loan_Years*Loan_Start&gt;0,1,0)</definedName>
    <definedName name="Values_Entered_10_1">IF(Loan_Amount*Interest_Rate_8*Loan_Years_8*Loan_Start&gt;0,1,0)</definedName>
    <definedName name="Values_Entered_11">IF(Loan_Amount*Interest_Rate*Loan_Years*Loan_Start&gt;0,1,0)</definedName>
    <definedName name="Values_Entered_11_1">IF(Loan_Amount*Interest_Rate_8*Loan_Years_8*Loan_Start&gt;0,1,0)</definedName>
    <definedName name="Values_Entered_12">IF(Loan_Amount*Interest_Rate*Loan_Years*Loan_Start&gt;0,1,0)</definedName>
    <definedName name="Values_Entered_12_1">IF(Loan_Amount*Interest_Rate_8*Loan_Years_8*Loan_Start&gt;0,1,0)</definedName>
    <definedName name="Values_Entered_13">IF(Loan_Amount*Interest_Rate*Loan_Years*Loan_Start&gt;0,1,0)</definedName>
    <definedName name="Values_Entered_13_1">IF(Loan_Amount*Interest_Rate_8*Loan_Years_8*Loan_Start&gt;0,1,0)</definedName>
    <definedName name="Values_Entered_2">IF(Loan_Amount*Interest_Rate*Loan_Years*Loan_Start&gt;0,1,0)</definedName>
    <definedName name="Values_Entered_2_1">IF(Loan_Amount*Interest_Rate_8*Loan_Years_8*Loan_Start&gt;0,1,0)</definedName>
    <definedName name="Values_Entered_3">IF(Loan_Amount*Interest_Rate*Loan_Years*Loan_Start&gt;0,1,0)</definedName>
    <definedName name="Values_Entered_3_1">IF(Loan_Amount*Interest_Rate_8*Loan_Years_8*Loan_Start&gt;0,1,0)</definedName>
    <definedName name="Values_Entered_4">IF(Loan_Amount*Interest_Rate*Loan_Years*Loan_Start&gt;0,1,0)</definedName>
    <definedName name="Values_Entered_4_1">IF(Loan_Amount*Interest_Rate_8*Loan_Years_8*Loan_Start&gt;0,1,0)</definedName>
    <definedName name="Values_Entered_5">IF(Loan_Amount*Interest_Rate*Loan_Years*Loan_Start&gt;0,1,0)</definedName>
    <definedName name="Values_Entered_5_1">IF(Loan_Amount*Interest_Rate_8*Loan_Years_8*Loan_Start&gt;0,1,0)</definedName>
    <definedName name="Values_Entered_7">IF(Loan_Amount*Interest_Rate*Loan_Years*Loan_Start&gt;0,1,0)</definedName>
    <definedName name="Values_Entered_7_1">IF(Loan_Amount*Interest_Rate_8*Loan_Years_8*Loan_Start&gt;0,1,0)</definedName>
    <definedName name="Values_Entered_8">IF(Loan_Amount*Interest_Rate_8*Loan_Years_8*Loan_Start&gt;0,1,0)</definedName>
    <definedName name="Values_Entered_9">IF(Loan_Amount*Interest_Rate*Loan_Years*Loan_Start&gt;0,1,0)</definedName>
    <definedName name="Values_Entered_9_1">IF(Loan_Amount*Interest_Rate_8*Loan_Years_8*Loan_Start&gt;0,1,0)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c">#REF!</definedName>
    <definedName name="vc_small">#REF!</definedName>
    <definedName name="vcads">#REF!</definedName>
    <definedName name="VCT">#REF!</definedName>
    <definedName name="Vd">#REF!</definedName>
    <definedName name="vdsvs" hidden="1">{#N/A,#N/A,TRUE,"Str.";#N/A,#N/A,TRUE,"Steel &amp; Roof";#N/A,#N/A,TRUE,"Arc.";#N/A,#N/A,TRUE,"Preliminary";#N/A,#N/A,TRUE,"Sum_Prelim"}</definedName>
    <definedName name="VEN" hidden="1">{#N/A,#N/A,TRUE,"SUM";#N/A,#N/A,TRUE,"EE";#N/A,#N/A,TRUE,"AC";#N/A,#N/A,TRUE,"SN"}</definedName>
    <definedName name="vn" hidden="1">{"'Sheet1'!$L$16"}</definedName>
    <definedName name="VO.017re" hidden="1">{#N/A,#N/A,TRUE,"Str.";#N/A,#N/A,TRUE,"Steel &amp; Roof";#N/A,#N/A,TRUE,"Arc.";#N/A,#N/A,TRUE,"Preliminary";#N/A,#N/A,TRUE,"Sum_Prelim"}</definedName>
    <definedName name="VO016revision" hidden="1">{#N/A,#N/A,TRUE,"SUM";#N/A,#N/A,TRUE,"EE";#N/A,#N/A,TRUE,"AC";#N/A,#N/A,TRUE,"SN"}</definedName>
    <definedName name="Vt">#REF!</definedName>
    <definedName name="VUP">#REF!</definedName>
    <definedName name="vvvvv">#REF!</definedName>
    <definedName name="vwq" hidden="1">{#N/A,#N/A,TRUE,"SUM";#N/A,#N/A,TRUE,"EE";#N/A,#N/A,TRUE,"AC";#N/A,#N/A,TRUE,"SN"}</definedName>
    <definedName name="w">#REF!</definedName>
    <definedName name="waet" hidden="1">{#N/A,#N/A,TRUE,"SUM";#N/A,#N/A,TRUE,"EE";#N/A,#N/A,TRUE,"AC";#N/A,#N/A,TRUE,"SN"}</definedName>
    <definedName name="WALL" hidden="1">{"'SUMMATION'!$B$2:$I$2"}</definedName>
    <definedName name="wall_Tank">#REF!</definedName>
    <definedName name="warn" hidden="1">{#N/A,#N/A,TRUE,"SUM";#N/A,#N/A,TRUE,"EE";#N/A,#N/A,TRUE,"AC";#N/A,#N/A,TRUE,"SN"}</definedName>
    <definedName name="was" hidden="1">{#N/A,#N/A,TRUE,"SUM";#N/A,#N/A,TRUE,"EE";#N/A,#N/A,TRUE,"AC";#N/A,#N/A,TRUE,"SN"}</definedName>
    <definedName name="Water">#REF!</definedName>
    <definedName name="Waterr">#REF!</definedName>
    <definedName name="wca">#REF!</definedName>
    <definedName name="WD">#REF!</definedName>
    <definedName name="wdqdqd">#REF!</definedName>
    <definedName name="wdr" hidden="1">{#N/A,#N/A,TRUE,"SUM";#N/A,#N/A,TRUE,"EE";#N/A,#N/A,TRUE,"AC";#N/A,#N/A,TRUE,"SN"}</definedName>
    <definedName name="we">#REF!</definedName>
    <definedName name="wed" hidden="1">{#N/A,#N/A,TRUE,"SUM";#N/A,#N/A,TRUE,"EE";#N/A,#N/A,TRUE,"AC";#N/A,#N/A,TRUE,"SN"}</definedName>
    <definedName name="weer" hidden="1">{#N/A,#N/A,FALSE,"Prime Cost&amp;Prov_sum";#N/A,#N/A,FALSE,"Preliminary";#N/A,#N/A,FALSE,"Sum_Prelim";#N/A,#N/A,FALSE,"Sum_BOQ"}</definedName>
    <definedName name="wefwefvwefewfc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hidden="1">{#N/A,#N/A,TRUE,"SUM";#N/A,#N/A,TRUE,"EE";#N/A,#N/A,TRUE,"AC";#N/A,#N/A,TRUE,"SN"}</definedName>
    <definedName name="wer_FF" hidden="1">{"'SUMMATION'!$B$2:$I$2"}</definedName>
    <definedName name="werete" hidden="1">{#N/A,#N/A,TRUE,"SUM";#N/A,#N/A,TRUE,"EE";#N/A,#N/A,TRUE,"AC";#N/A,#N/A,TRUE,"SN"}</definedName>
    <definedName name="werewr" hidden="1">{#N/A,#N/A,TRUE,"SUM";#N/A,#N/A,TRUE,"EE";#N/A,#N/A,TRUE,"AC";#N/A,#N/A,TRUE,"SN"}</definedName>
    <definedName name="werewrt" hidden="1">{#N/A,#N/A,TRUE,"SUM";#N/A,#N/A,TRUE,"EE";#N/A,#N/A,TRUE,"AC";#N/A,#N/A,TRUE,"SN"}</definedName>
    <definedName name="werwert" hidden="1">{#N/A,#N/A,TRUE,"SUM";#N/A,#N/A,TRUE,"EE";#N/A,#N/A,TRUE,"AC";#N/A,#N/A,TRUE,"SN"}</definedName>
    <definedName name="werwet" hidden="1">{#N/A,#N/A,TRUE,"SUM";#N/A,#N/A,TRUE,"EE";#N/A,#N/A,TRUE,"AC";#N/A,#N/A,TRUE,"SN"}</definedName>
    <definedName name="wery" hidden="1">{#N/A,#N/A,TRUE,"Str.";#N/A,#N/A,TRUE,"Steel &amp; Roof";#N/A,#N/A,TRUE,"Arc.";#N/A,#N/A,TRUE,"Preliminary";#N/A,#N/A,TRUE,"Sum_Prelim"}</definedName>
    <definedName name="wet" hidden="1">{#N/A,#N/A,TRUE,"SUM";#N/A,#N/A,TRUE,"EE";#N/A,#N/A,TRUE,"AC";#N/A,#N/A,TRUE,"SN"}</definedName>
    <definedName name="wjs" hidden="1">{"'장비'!$A$3:$M$12"}</definedName>
    <definedName name="wmk" hidden="1">{"CASH FLOW",#N/A,FALSE,"A"}</definedName>
    <definedName name="wqett" hidden="1">{#N/A,#N/A,TRUE,"SUM";#N/A,#N/A,TRUE,"EE";#N/A,#N/A,TRUE,"AC";#N/A,#N/A,TRUE,"SN"}</definedName>
    <definedName name="wqwqwq" hidden="1">#REF!</definedName>
    <definedName name="WRITE" hidden="1">{#N/A,#N/A,FALSE,"CCTV"}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." hidden="1">{#N/A,#N/A,TRUE,"SUM";#N/A,#N/A,TRUE,"EE";#N/A,#N/A,TRUE,"AC";#N/A,#N/A,TRUE,"SN"}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." hidden="1">{#N/A,#N/A,TRUE,"SUM";#N/A,#N/A,TRUE,"EE";#N/A,#N/A,TRUE,"AC";#N/A,#N/A,TRUE,"SN"}</definedName>
    <definedName name="wrn.BALANCE." hidden="1">{"balance",#N/A,FALSE,"BALANCE"}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ILLS._.OF._.QUANTITY." hidden="1">{#N/A,#N/A,TRUE,"Str.";#N/A,#N/A,TRUE,"Steel &amp; Roof";#N/A,#N/A,TRUE,"Arc."}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._.FLOW." hidden="1">{"CASH FLOW",#N/A,FALSE,"A"}</definedName>
    <definedName name="wrn.cashflow." hidden="1">{"cashflow",#N/A,FALSE,"CASHFLOW 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ients._.Office._.and._.sum." hidden="1">{#N/A,#N/A,FALSE,"Clients Office";#N/A,#N/A,FALSE,"Co Sum"}</definedName>
    <definedName name="wrn.conso." hidden="1">{"conso",#N/A,FALSE,"cash flow"}</definedName>
    <definedName name="wrn.cost" hidden="1">{"FTS",#N/A,FALSE,"E"}</definedName>
    <definedName name="wrn.COST_SHEETS." hidden="1">{#N/A,#N/A,FALSE,"WBS 1.06";#N/A,#N/A,FALSE,"WBS 1.14";#N/A,#N/A,FALSE,"WBS 1.17";#N/A,#N/A,FALSE,"WBS 1.18"}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DRAFT.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Field._.Office._.and._.Sum." hidden="1">{#N/A,#N/A,FALSE,"Field Rates";#N/A,#N/A,FALSE,"Field Sum"}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oot._.joy." hidden="1">{#N/A,#N/A,TRUE,"factory";#N/A,#N/A,TRUE,"Stock build.";#N/A,#N/A,TRUE,"Pump house";#N/A,#N/A,TRUE,"Work shop";#N/A,#N/A,TRUE,"Guard house";#N/A,#N/A,TRUE,"Generator house";#N/A,#N/A,TRUE,"Garbage";#N/A,#N/A,TRUE,"External works"}</definedName>
    <definedName name="wrn.Footjoy_Preliminary." hidden="1">{#N/A,#N/A,FALSE,"Prime Cost&amp;Prov_sum";#N/A,#N/A,FALSE,"Preliminary";#N/A,#N/A,FALSE,"Sum_Prelim";#N/A,#N/A,FALSE,"Sum_BOQ"}</definedName>
    <definedName name="wrn.FTS." hidden="1">{"FTS",#N/A,FALSE,"E"}</definedName>
    <definedName name="wrn.FTS._.PLANT._.BREAKUP." hidden="1">{"PLANT BREAKUP",#N/A,FALSE,"E"}</definedName>
    <definedName name="wrn.Fuel._.oil._.option." hidden="1">{"FUEL OIL",#N/A,FALSE,"Option"}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HO._.Rates._.and._.Sum." hidden="1">{#N/A,#N/A,FALSE,"HO Rates";#N/A,#N/A,FALSE,"HO Sum"}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LANNING." hidden="1">{"PLANNING",#N/A,FALSE,"A"}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nt._.Output." hidden="1">{#N/A,#N/A,FALSE,"OUTPUT SHEET 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edundant._.Equipment._.Option." hidden="1">{"pumps",#N/A,FALSE,"Option"}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" hidden="1">{"SUMMARY",#N/A,FALSE,"C"}</definedName>
    <definedName name="wrn.Volume._.II." hidden="1">{#N/A,#N/A,FALSE,"Cont Doc_LSV (4)";#N/A,#N/A,FALSE,"Cont Doc_LSV (5)";#N/A,#N/A,FALSE,"Cont Doc_LSV (6)"}</definedName>
    <definedName name="wrn.WHOUSE._.CT." hidden="1">{"WESTINGHOUSE",#N/A,FALSE,"Option"}</definedName>
    <definedName name="wrn.รายละเอียดราคาประเมิน." hidden="1">{#N/A,#N/A,FALSE,"Cape Seal";#N/A,#N/A,FALSE,"MEMO"}</definedName>
    <definedName name="wrwer" hidden="1">{#N/A,#N/A,TRUE,"SUM";#N/A,#N/A,TRUE,"EE";#N/A,#N/A,TRUE,"AC";#N/A,#N/A,TRUE,"SN"}</definedName>
    <definedName name="wsas" hidden="1">{#N/A,#N/A,TRUE,"SUM";#N/A,#N/A,TRUE,"EE";#N/A,#N/A,TRUE,"AC";#N/A,#N/A,TRUE,"SN"}</definedName>
    <definedName name="wse" hidden="1">{#N/A,#N/A,TRUE,"SUM";#N/A,#N/A,TRUE,"EE";#N/A,#N/A,TRUE,"AC";#N/A,#N/A,TRUE,"SN"}</definedName>
    <definedName name="wtertery" hidden="1">{#N/A,#N/A,TRUE,"SUM";#N/A,#N/A,TRUE,"EE";#N/A,#N/A,TRUE,"AC";#N/A,#N/A,TRUE,"SN"}</definedName>
    <definedName name="ww" hidden="1">{#N/A,#N/A,TRUE,"Str.";#N/A,#N/A,TRUE,"Steel &amp; Roof";#N/A,#N/A,TRUE,"Arc.";#N/A,#N/A,TRUE,"Preliminary";#N/A,#N/A,TRUE,"Sum_Prelim"}</definedName>
    <definedName name="www" hidden="1">{#N/A,#N/A,TRUE,"SUM";#N/A,#N/A,TRUE,"EE";#N/A,#N/A,TRUE,"AC";#N/A,#N/A,TRUE,"SN"}</definedName>
    <definedName name="wwwwww" hidden="1">{#N/A,#N/A,FALSE,"HO Sum";#N/A,#N/A,FALSE,"HO Rates";#N/A,#N/A,FALSE,"Co Sum";#N/A,#N/A,FALSE,"Clients Office";#N/A,#N/A,FALSE,"Field Sum";#N/A,#N/A,FALSE,"Field Rates"}</definedName>
    <definedName name="wwwwwww" hidden="1">{#N/A,#N/A,TRUE,"SUM";#N/A,#N/A,TRUE,"EE";#N/A,#N/A,TRUE,"AC";#N/A,#N/A,TRUE,"SN"}</definedName>
    <definedName name="wxwx">#REF!</definedName>
    <definedName name="x" hidden="1">{"'SUMMATION'!$B$2:$I$2"}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sd" hidden="1">{"conso",#N/A,FALSE,"cash flow"}</definedName>
    <definedName name="xvmc.mbc">#REF!</definedName>
    <definedName name="xwe" hidden="1">#REF!</definedName>
    <definedName name="XX" hidden="1">{#N/A,#N/A,TRUE,"SUM";#N/A,#N/A,TRUE,"EE";#N/A,#N/A,TRUE,"AC";#N/A,#N/A,TRUE,"SN"}</definedName>
    <definedName name="xxn">#REF!</definedName>
    <definedName name="xxn0">#REF!</definedName>
    <definedName name="xxn1">#REF!</definedName>
    <definedName name="xxn2">#REF!</definedName>
    <definedName name="xxn3">#REF!</definedName>
    <definedName name="xxn4">#REF!</definedName>
    <definedName name="xxn5">#REF!</definedName>
    <definedName name="xxn6">#REF!</definedName>
    <definedName name="xxn7">#REF!</definedName>
    <definedName name="xxn8">#REF!</definedName>
    <definedName name="xxs">#REF!</definedName>
    <definedName name="xxs0">#REF!</definedName>
    <definedName name="xxs1">#REF!</definedName>
    <definedName name="xxs2">#REF!</definedName>
    <definedName name="xxs3">#REF!</definedName>
    <definedName name="xxs4">#REF!</definedName>
    <definedName name="xxs5">#REF!</definedName>
    <definedName name="xxs6">#REF!</definedName>
    <definedName name="xxs7">#REF!</definedName>
    <definedName name="xxs8">#REF!</definedName>
    <definedName name="xxx" hidden="1">{#N/A,#N/A,TRUE,"Str.";#N/A,#N/A,TRUE,"Steel &amp; Roof";#N/A,#N/A,TRUE,"Arc.";#N/A,#N/A,TRUE,"Preliminary";#N/A,#N/A,TRUE,"Sum_Prelim"}</definedName>
    <definedName name="XXXX">#REF!</definedName>
    <definedName name="Y">#REF!</definedName>
    <definedName name="ye" hidden="1">{#N/A,#N/A,TRUE,"SUM";#N/A,#N/A,TRUE,"EE";#N/A,#N/A,TRUE,"AC";#N/A,#N/A,TRUE,"SN"}</definedName>
    <definedName name="yi" hidden="1">{"'Sheet1'!$L$16"}</definedName>
    <definedName name="yji" hidden="1">{#N/A,#N/A,TRUE,"SUM";#N/A,#N/A,TRUE,"EE";#N/A,#N/A,TRUE,"AC";#N/A,#N/A,TRUE,"SN"}</definedName>
    <definedName name="yrdtytyt" hidden="1">{#N/A,#N/A,FALSE,"CCTV"}</definedName>
    <definedName name="z" hidden="1">{"'SUMMATION'!$B$2:$I$2"}</definedName>
    <definedName name="Z_X" hidden="1">{"'SUMMATION'!$B$2:$I$2"}</definedName>
    <definedName name="Zone" hidden="1">{#N/A,#N/A,TRUE,"Str.";#N/A,#N/A,TRUE,"Steel &amp; Roof";#N/A,#N/A,TRUE,"Arc.";#N/A,#N/A,TRUE,"Preliminary";#N/A,#N/A,TRUE,"Sum_Prelim"}</definedName>
    <definedName name="zsds" hidden="1">{#N/A,#N/A,TRUE,"SUM";#N/A,#N/A,TRUE,"EE";#N/A,#N/A,TRUE,"AC";#N/A,#N/A,TRUE,"SN"}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Y">#N/A</definedName>
    <definedName name="ZZ">#REF!</definedName>
    <definedName name="ZZZZ" hidden="1">{"SUM",#N/A,FALSE,"summary";"BOOK11-1",#N/A,FALSE,"1CityGarden";"BOOK11-2",#N/A,FALSE,"2CountryGarden";"BOOK11-3",#N/A,FALSE,"3JUNGLE";"BOOK11-4CIVIL",#N/A,FALSE,"CIVIL"}</definedName>
    <definedName name="Ρw">#REF!</definedName>
    <definedName name="っｋ" hidden="1">#REF!</definedName>
    <definedName name="ไ" hidden="1">{#N/A,#N/A,TRUE,"Str.";#N/A,#N/A,TRUE,"Steel &amp; Roof";#N/A,#N/A,TRUE,"Arc.";#N/A,#N/A,TRUE,"Preliminary";#N/A,#N/A,TRUE,"Sum_Prelim"}</definedName>
    <definedName name="ก">#REF!</definedName>
    <definedName name="กก" hidden="1">{#N/A,#N/A,TRUE,"Str.";#N/A,#N/A,TRUE,"Steel &amp; Roof";#N/A,#N/A,TRUE,"Arc.";#N/A,#N/A,TRUE,"Preliminary";#N/A,#N/A,TRUE,"Sum_Prelim"}</definedName>
    <definedName name="กกก" hidden="1">{#N/A,#N/A,TRUE,"SUM";#N/A,#N/A,TRUE,"EE";#N/A,#N/A,TRUE,"AC";#N/A,#N/A,TRUE,"SN"}</definedName>
    <definedName name="กกกกก">#REF!</definedName>
    <definedName name="กดเ" hidden="1">{#N/A,#N/A,TRUE,"SUM";#N/A,#N/A,TRUE,"EE";#N/A,#N/A,TRUE,"AC";#N/A,#N/A,TRUE,"SN"}</definedName>
    <definedName name="กดกด">#REF!</definedName>
    <definedName name="กดเดก้" hidden="1">{#N/A,#N/A,TRUE,"SUM";#N/A,#N/A,TRUE,"EE";#N/A,#N/A,TRUE,"AC";#N/A,#N/A,TRUE,"SN"}</definedName>
    <definedName name="กพพ" hidden="1">{#N/A,#N/A,TRUE,"SUM";#N/A,#N/A,TRUE,"EE";#N/A,#N/A,TRUE,"AC";#N/A,#N/A,TRUE,"SN"}</definedName>
    <definedName name="กฟ6">#REF!</definedName>
    <definedName name="กสาเวสกหเ" hidden="1">{"'SUMMATION'!$B$2:$I$2"}</definedName>
    <definedName name="แก้" hidden="1">{#N/A,#N/A,TRUE,"Str.";#N/A,#N/A,TRUE,"Steel &amp; Roof";#N/A,#N/A,TRUE,"Arc.";#N/A,#N/A,TRUE,"Preliminary";#N/A,#N/A,TRUE,"Sum_Prelim"}</definedName>
    <definedName name="แก้ไข" hidden="1">{#N/A,#N/A,TRUE,"Str.";#N/A,#N/A,TRUE,"Steel &amp; Roof";#N/A,#N/A,TRUE,"Arc.";#N/A,#N/A,TRUE,"Preliminary";#N/A,#N/A,TRUE,"Sum_Prelim"}</definedName>
    <definedName name="ขอบเขตการทำงาน">#REF!</definedName>
    <definedName name="เข็ม">#REF!</definedName>
    <definedName name="คร.">#REF!</definedName>
    <definedName name="คอนกรีตโครงสร้าง">#REF!</definedName>
    <definedName name="ค่าแรง">#REF!</definedName>
    <definedName name="ค่าแรง2">#REF!</definedName>
    <definedName name="ค่าแรงลด">#REF!</definedName>
    <definedName name="ค่าแรงลด1">#REF!</definedName>
    <definedName name="คุรุภัณฑ์ไฟฟ้า" hidden="1">#REF!</definedName>
    <definedName name="โครงการ">#REF!</definedName>
    <definedName name="งวดงาน">#REF!</definedName>
    <definedName name="งาน" hidden="1">#REF!</definedName>
    <definedName name="งานชั้น2" hidden="1">#REF!</definedName>
    <definedName name="งานทั่วไป">#REF!</definedName>
    <definedName name="งานบัวเชิงผนัง">#REF!</definedName>
    <definedName name="งานประตูหน้าต่าง">#REF!</definedName>
    <definedName name="งานผนัง">#REF!</definedName>
    <definedName name="งานฝ้าเพดาน">#REF!</definedName>
    <definedName name="งานพื้น">#REF!</definedName>
    <definedName name="งานไฟฟ_า">#REF!</definedName>
    <definedName name="งานสุขภัณฑ์">#REF!</definedName>
    <definedName name="งานสุขา">#REF!</definedName>
    <definedName name="งานหลังคา">#REF!</definedName>
    <definedName name="งานโฮมโปร">#REF!</definedName>
    <definedName name="เงินเดือน2" hidden="1">{#N/A,#N/A,TRUE,"Str.";#N/A,#N/A,TRUE,"Steel &amp; Roof";#N/A,#N/A,TRUE,"Arc.";#N/A,#N/A,TRUE,"Preliminary";#N/A,#N/A,TRUE,"Sum_Prelim"}</definedName>
    <definedName name="จดหมาย" hidden="1">{#N/A,#N/A,TRUE,"Str.";#N/A,#N/A,TRUE,"Steel &amp; Roof";#N/A,#N/A,TRUE,"Arc.";#N/A,#N/A,TRUE,"Preliminary";#N/A,#N/A,TRUE,"Sum_Prelim"}</definedName>
    <definedName name="จมเพิ่มลด">#REF!</definedName>
    <definedName name="จัดสร้าง">#REF!</definedName>
    <definedName name="จำนวน">IF(OFFSET(#REF!,0,#REF!)="","",OFFSET(#REF!,0,#REF!))</definedName>
    <definedName name="ฉ160">#REF!</definedName>
    <definedName name="ใช่">#REF!</definedName>
    <definedName name="ด" hidden="1">{"'SUMMATION'!$B$2:$I$2"}</definedName>
    <definedName name="ด27">#REF!</definedName>
    <definedName name="ดกำ" hidden="1">{"'ค่าแรงช่าง'!$A$1:$H$57"}</definedName>
    <definedName name="ดด">#REF!</definedName>
    <definedName name="ดดดลลล">#REF!</definedName>
    <definedName name="เด้" hidden="1">{#N/A,#N/A,TRUE,"SUM";#N/A,#N/A,TRUE,"EE";#N/A,#N/A,TRUE,"AC";#N/A,#N/A,TRUE,"SN"}</definedName>
    <definedName name="เดก้" hidden="1">{"'SUMMATION'!$B$2:$I$2"}</definedName>
    <definedName name="ตก" hidden="1">{#N/A,#N/A,TRUE,"Str.";#N/A,#N/A,TRUE,"Steel &amp; Roof";#N/A,#N/A,TRUE,"Arc.";#N/A,#N/A,TRUE,"Preliminary";#N/A,#N/A,TRUE,"Sum_Prelim"}</definedName>
    <definedName name="ตะแกรง">#REF!</definedName>
    <definedName name="เตรียมการ">#REF!</definedName>
    <definedName name="ถอดสูตร" hidden="1">{"'ค่าแรงช่าง'!$A$1:$H$57"}</definedName>
    <definedName name="ท">#REF!</definedName>
    <definedName name="ทราย">#REF!</definedName>
    <definedName name="ธธธธ" hidden="1">{#N/A,#N/A,TRUE,"Str.";#N/A,#N/A,TRUE,"Steel &amp; Roof";#N/A,#N/A,TRUE,"Arc.";#N/A,#N/A,TRUE,"Preliminary";#N/A,#N/A,TRUE,"Sum_Prelim"}</definedName>
    <definedName name="น" hidden="1">{"'SUMMATION'!$B$2:$I$2"}</definedName>
    <definedName name="นสำ">#REF!</definedName>
    <definedName name="บ_ญส_ง">"$#REF!.$C$4"</definedName>
    <definedName name="บันทัด">#REF!</definedName>
    <definedName name="ใบ" hidden="1">{"'SUMMATION'!$B$2:$I$2"}</definedName>
    <definedName name="ป">#REF!</definedName>
    <definedName name="ปก32" hidden="1">{"'SUMMATION'!$B$2:$I$2"}</definedName>
    <definedName name="ปร.4" hidden="1">{"'SUMMATION'!$B$2:$I$2"}</definedName>
    <definedName name="ประเสริฐ" hidden="1">{"'SUMMATION'!$B$2:$I$2"}</definedName>
    <definedName name="ปรับปรุงห้องน้ำ">#REF!</definedName>
    <definedName name="ปริมาณงาน" hidden="1">{#N/A,#N/A,FALSE,"Cape Seal";#N/A,#N/A,FALSE,"MEMO"}</definedName>
    <definedName name="พพ" hidden="1">{#N/A,#N/A,TRUE,"SUM";#N/A,#N/A,TRUE,"EE";#N/A,#N/A,TRUE,"AC";#N/A,#N/A,TRUE,"SN"}</definedName>
    <definedName name="พื้น">#REF!</definedName>
    <definedName name="ฟ" hidden="1">{"'SUMMATION'!$B$2:$I$2"}</definedName>
    <definedName name="ฟ1">#REF!</definedName>
    <definedName name="ฟ1200">#REF!</definedName>
    <definedName name="ฟ3">#REF!</definedName>
    <definedName name="ฟ30">#REF!</definedName>
    <definedName name="ฟ48">#REF!</definedName>
    <definedName name="ฟฟ" hidden="1">{"'SUMMATION'!$B$2:$I$2"}</definedName>
    <definedName name="ฟฟฟ" hidden="1">{#N/A,#N/A,TRUE,"Str.";#N/A,#N/A,TRUE,"Steel &amp; Roof";#N/A,#N/A,TRUE,"Arc.";#N/A,#N/A,TRUE,"Preliminary";#N/A,#N/A,TRUE,"Sum_Prelim"}</definedName>
    <definedName name="ฟภุ">#REF!</definedName>
    <definedName name="ฟฤ">#REF!</definedName>
    <definedName name="ฟส19">#REF!</definedName>
    <definedName name="ฟห">#REF!</definedName>
    <definedName name="ฟๅ">#REF!</definedName>
    <definedName name="เฟอร์นิเจอร์" hidden="1">{"'SUMMATION'!$B$2:$I$2"}</definedName>
    <definedName name="ไฟฟ_า_ภายใน">#REF!</definedName>
    <definedName name="ไฟฟ_า_ภายใน_5">#REF!</definedName>
    <definedName name="ภายใน">#REF!</definedName>
    <definedName name="ภายใน_5">#REF!</definedName>
    <definedName name="ยำยำ">#REF!</definedName>
    <definedName name="รร">#REF!</definedName>
    <definedName name="รวม" hidden="1">{#N/A,#N/A,TRUE,"Str.";#N/A,#N/A,TRUE,"Steel &amp; Roof";#N/A,#N/A,TRUE,"Arc.";#N/A,#N/A,TRUE,"Preliminary";#N/A,#N/A,TRUE,"Sum_Prelim"}</definedName>
    <definedName name="ราคา" hidden="1">{"'SUMMATION'!$B$2:$I$2"}</definedName>
    <definedName name="ราคากลางสว่างแดนดิน">#REF!</definedName>
    <definedName name="ราย" hidden="1">{"'ค่าแรงช่าง'!$A$1:$H$57"}</definedName>
    <definedName name="ลลล" hidden="1">{#N/A,#N/A,TRUE,"SUM";#N/A,#N/A,TRUE,"EE";#N/A,#N/A,TRUE,"AC";#N/A,#N/A,TRUE,"SN"}</definedName>
    <definedName name="วววววววว">#REF!</definedName>
    <definedName name="ววววววววว">#REF!</definedName>
    <definedName name="ศาลปกครอง">#REF!</definedName>
    <definedName name="สรหะ" hidden="1">{"SUM",#N/A,FALSE,"summary";"BOOK11-1",#N/A,FALSE,"1CityGarden";"BOOK11-2",#N/A,FALSE,"2CountryGarden";"BOOK11-3",#N/A,FALSE,"3JUNGLE";"BOOK11-4CIVIL",#N/A,FALSE,"CIVIL"}</definedName>
    <definedName name="สรุปทั้งหมด">#REF!</definedName>
    <definedName name="สรุปรวมงานระบบทั้งหมด">#REF!</definedName>
    <definedName name="สรุปส่งผลงานผรม">#REF!</definedName>
    <definedName name="ส่วนต่าง" hidden="1">#REF!</definedName>
    <definedName name="ส่วนห้องพัก" hidden="1">{#N/A,#N/A,TRUE,"Str.";#N/A,#N/A,TRUE,"Steel &amp; Roof";#N/A,#N/A,TRUE,"Arc.";#N/A,#N/A,TRUE,"Preliminary";#N/A,#N/A,TRUE,"Sum_Prelim"}</definedName>
    <definedName name="สว่าง">#REF!</definedName>
    <definedName name="สำเริง" hidden="1">{#N/A,#N/A,TRUE,"Str.";#N/A,#N/A,TRUE,"Steel &amp; Roof";#N/A,#N/A,TRUE,"Arc.";#N/A,#N/A,TRUE,"Preliminary";#N/A,#N/A,TRUE,"Sum_Prelim"}</definedName>
    <definedName name="หกหกฟ" hidden="1">{#N/A,#N/A,TRUE,"Str.";#N/A,#N/A,TRUE,"Steel &amp; Roof";#N/A,#N/A,TRUE,"Arc.";#N/A,#N/A,TRUE,"Preliminary";#N/A,#N/A,TRUE,"Sum_Prelim"}</definedName>
    <definedName name="หดกฟ" hidden="1">{#N/A,#N/A,TRUE,"SUM";#N/A,#N/A,TRUE,"EE";#N/A,#N/A,TRUE,"AC";#N/A,#N/A,TRUE,"SN"}</definedName>
    <definedName name="หหาหหา" hidden="1">#REF!</definedName>
    <definedName name="หๆไ" hidden="1">#REF!</definedName>
    <definedName name="อ">#REF!</definedName>
    <definedName name="อไ">#REF!</definedName>
    <definedName name="อาคาร4" hidden="1">{#N/A,#N/A,TRUE,"Str.";#N/A,#N/A,TRUE,"Steel &amp; Roof";#N/A,#N/A,TRUE,"Arc.";#N/A,#N/A,TRUE,"Preliminary";#N/A,#N/A,TRUE,"Sum_Prelim"}</definedName>
    <definedName name="อาคาร5" hidden="1">{#N/A,#N/A,TRUE,"SUM";#N/A,#N/A,TRUE,"EE";#N/A,#N/A,TRUE,"AC";#N/A,#N/A,TRUE,"SN"}</definedName>
    <definedName name="แอ1">#REF!</definedName>
    <definedName name="ๆ" hidden="1">{#N/A,#N/A,TRUE,"SUM";#N/A,#N/A,TRUE,"EE";#N/A,#N/A,TRUE,"AC";#N/A,#N/A,TRUE,"SN"}</definedName>
    <definedName name="견적조건" hidden="1">#REF!</definedName>
    <definedName name="견적품의서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ㅇㄴ" hidden="1">{"'Sheet1'!$L$16"}</definedName>
    <definedName name="뭉" hidden="1">{"'장비'!$A$3:$M$12"}</definedName>
    <definedName name="보충" hidden="1">#REF!</definedName>
    <definedName name="부대공사" hidden="1">#REF!</definedName>
    <definedName name="ㅅㄷ" hidden="1">{"'Sheet1'!$L$16"}</definedName>
    <definedName name="사업부양식2" hidden="1">#REF!</definedName>
    <definedName name="손익계산서" hidden="1">#REF!</definedName>
    <definedName name="ㅈㅈ" hidden="1">{"'장비'!$A$3:$M$12"}</definedName>
    <definedName name="전계장금액" hidden="1">#REF!</definedName>
    <definedName name="추" hidden="1">{"'Sheet1'!$L$16"}</definedName>
    <definedName name="추가분" hidden="1">{"'장비'!$A$3:$M$12"}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업체1" hidden="1">{"'장비'!$A$3:$M$12"}</definedName>
    <definedName name="토건집계표r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할" hidden="1">{"'Sheet1'!$L$16"}</definedName>
    <definedName name="항" hidden="1">{"'Sheet1'!$L$16"}</definedName>
    <definedName name="ㅑㅅ" hidden="1">{"'Sheet1'!$L$16"}</definedName>
    <definedName name="ㅘ" hidden="1">{"'Sheet1'!$L$16"}</definedName>
    <definedName name="出差費用" hidden="1">{"'Sheet1'!$L$16"}</definedName>
    <definedName name="岡田" hidden="1">{#N/A,#N/A,TRUE,"SUM";#N/A,#N/A,TRUE,"EE";#N/A,#N/A,TRUE,"AC";#N/A,#N/A,TRUE,"SN"}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4" l="1"/>
  <c r="D54" i="4"/>
  <c r="E54" i="4" s="1"/>
  <c r="I53" i="4"/>
  <c r="E53" i="4"/>
  <c r="H46" i="4"/>
  <c r="H47" i="4" s="1"/>
  <c r="D46" i="4"/>
  <c r="D47" i="4" s="1"/>
  <c r="I45" i="4"/>
  <c r="E45" i="4"/>
  <c r="I54" i="4" l="1"/>
  <c r="D55" i="4"/>
  <c r="I46" i="4"/>
  <c r="H55" i="4"/>
  <c r="I55" i="4" s="1"/>
  <c r="H56" i="4"/>
  <c r="E47" i="4"/>
  <c r="I47" i="4"/>
  <c r="H49" i="4"/>
  <c r="D56" i="4"/>
  <c r="I56" i="4" s="1"/>
  <c r="E55" i="4"/>
  <c r="E46" i="4"/>
  <c r="D49" i="4"/>
  <c r="F20" i="4"/>
  <c r="H37" i="4"/>
  <c r="H38" i="4" s="1"/>
  <c r="D37" i="4"/>
  <c r="D38" i="4" s="1"/>
  <c r="I36" i="4"/>
  <c r="E36" i="4"/>
  <c r="H29" i="4"/>
  <c r="H30" i="4" s="1"/>
  <c r="D29" i="4"/>
  <c r="I28" i="4"/>
  <c r="E28" i="4"/>
  <c r="E17" i="8"/>
  <c r="D19" i="8"/>
  <c r="F18" i="8"/>
  <c r="F19" i="8" s="1"/>
  <c r="H15" i="8"/>
  <c r="J15" i="8" s="1"/>
  <c r="G15" i="8"/>
  <c r="E15" i="8"/>
  <c r="H14" i="8"/>
  <c r="J14" i="8" s="1"/>
  <c r="G14" i="8"/>
  <c r="E14" i="8"/>
  <c r="H13" i="8"/>
  <c r="J13" i="8" s="1"/>
  <c r="G13" i="8"/>
  <c r="E13" i="8"/>
  <c r="H12" i="8"/>
  <c r="J12" i="8" s="1"/>
  <c r="G12" i="8"/>
  <c r="E12" i="8"/>
  <c r="H11" i="8"/>
  <c r="J11" i="8" s="1"/>
  <c r="G11" i="8"/>
  <c r="E11" i="8"/>
  <c r="H10" i="8"/>
  <c r="J10" i="8" s="1"/>
  <c r="G10" i="8"/>
  <c r="E10" i="8"/>
  <c r="H9" i="8"/>
  <c r="I9" i="8" s="1"/>
  <c r="G9" i="8"/>
  <c r="E9" i="8"/>
  <c r="H8" i="8"/>
  <c r="I8" i="8" s="1"/>
  <c r="G8" i="8"/>
  <c r="E8" i="8"/>
  <c r="I38" i="4" l="1"/>
  <c r="H57" i="4"/>
  <c r="D30" i="4"/>
  <c r="E30" i="4" s="1"/>
  <c r="E49" i="4"/>
  <c r="E56" i="4"/>
  <c r="D57" i="4"/>
  <c r="I49" i="4"/>
  <c r="I37" i="4"/>
  <c r="H39" i="4"/>
  <c r="H40" i="4" s="1"/>
  <c r="H32" i="4"/>
  <c r="I29" i="4"/>
  <c r="E37" i="4"/>
  <c r="D39" i="4"/>
  <c r="E38" i="4"/>
  <c r="E29" i="4"/>
  <c r="I12" i="8"/>
  <c r="F21" i="8"/>
  <c r="F24" i="8"/>
  <c r="F27" i="8"/>
  <c r="L12" i="8"/>
  <c r="M12" i="8" s="1"/>
  <c r="K12" i="8"/>
  <c r="L11" i="8"/>
  <c r="M11" i="8" s="1"/>
  <c r="K11" i="8"/>
  <c r="L13" i="8"/>
  <c r="M13" i="8" s="1"/>
  <c r="K13" i="8"/>
  <c r="L14" i="8"/>
  <c r="M14" i="8" s="1"/>
  <c r="K14" i="8"/>
  <c r="L10" i="8"/>
  <c r="M10" i="8" s="1"/>
  <c r="K10" i="8"/>
  <c r="L15" i="8"/>
  <c r="M15" i="8" s="1"/>
  <c r="K15" i="8"/>
  <c r="I14" i="8"/>
  <c r="I13" i="8"/>
  <c r="I15" i="8"/>
  <c r="I10" i="8"/>
  <c r="J8" i="8"/>
  <c r="I11" i="8"/>
  <c r="J9" i="8"/>
  <c r="I39" i="4" l="1"/>
  <c r="I30" i="4"/>
  <c r="D32" i="4"/>
  <c r="E32" i="4" s="1"/>
  <c r="E57" i="4"/>
  <c r="I57" i="4"/>
  <c r="E39" i="4"/>
  <c r="D40" i="4"/>
  <c r="I40" i="4" s="1"/>
  <c r="F22" i="8"/>
  <c r="F25" i="8"/>
  <c r="L9" i="8"/>
  <c r="M9" i="8" s="1"/>
  <c r="K9" i="8"/>
  <c r="L8" i="8"/>
  <c r="M8" i="8" s="1"/>
  <c r="K8" i="8"/>
  <c r="I32" i="4" l="1"/>
  <c r="E40" i="4"/>
  <c r="F28" i="8"/>
  <c r="H7" i="8"/>
  <c r="H18" i="8" s="1"/>
  <c r="D18" i="8"/>
  <c r="I18" i="8" l="1"/>
  <c r="H19" i="8"/>
  <c r="E18" i="8"/>
  <c r="G18" i="8"/>
  <c r="F40" i="8"/>
  <c r="H40" i="8"/>
  <c r="D40" i="8"/>
  <c r="H34" i="8"/>
  <c r="H35" i="8" s="1"/>
  <c r="F34" i="8"/>
  <c r="F35" i="8" s="1"/>
  <c r="F37" i="8" s="1"/>
  <c r="D34" i="8"/>
  <c r="E34" i="8" s="1"/>
  <c r="J33" i="8"/>
  <c r="J40" i="8" s="1"/>
  <c r="I33" i="8"/>
  <c r="G33" i="8"/>
  <c r="E33" i="8"/>
  <c r="I7" i="8"/>
  <c r="G7" i="8"/>
  <c r="E7" i="8"/>
  <c r="J7" i="8"/>
  <c r="J18" i="8" s="1"/>
  <c r="H11" i="6"/>
  <c r="I11" i="6" s="1"/>
  <c r="F11" i="6"/>
  <c r="G11" i="6" s="1"/>
  <c r="D11" i="6"/>
  <c r="H8" i="6"/>
  <c r="H17" i="6" s="1"/>
  <c r="F8" i="6"/>
  <c r="F17" i="6" s="1"/>
  <c r="D8" i="6"/>
  <c r="D17" i="6" s="1"/>
  <c r="K18" i="8" l="1"/>
  <c r="J19" i="8"/>
  <c r="K40" i="8"/>
  <c r="H21" i="8"/>
  <c r="H27" i="8"/>
  <c r="H24" i="8"/>
  <c r="H22" i="8"/>
  <c r="K7" i="8"/>
  <c r="F43" i="8"/>
  <c r="H43" i="8"/>
  <c r="D43" i="8"/>
  <c r="E43" i="8" s="1"/>
  <c r="I40" i="8"/>
  <c r="G40" i="8"/>
  <c r="F38" i="8"/>
  <c r="H37" i="8"/>
  <c r="H38" i="8" s="1"/>
  <c r="D35" i="8"/>
  <c r="G35" i="8" s="1"/>
  <c r="E40" i="8"/>
  <c r="G34" i="8"/>
  <c r="K33" i="8"/>
  <c r="I34" i="8"/>
  <c r="L33" i="8"/>
  <c r="J34" i="8"/>
  <c r="J43" i="8" s="1"/>
  <c r="L7" i="8"/>
  <c r="L18" i="8" s="1"/>
  <c r="G17" i="6"/>
  <c r="D14" i="6"/>
  <c r="H9" i="6"/>
  <c r="F14" i="6"/>
  <c r="G14" i="6" s="1"/>
  <c r="F9" i="6"/>
  <c r="H14" i="6"/>
  <c r="I14" i="6" s="1"/>
  <c r="I17" i="6"/>
  <c r="I8" i="6"/>
  <c r="G8" i="6"/>
  <c r="D9" i="6"/>
  <c r="D12" i="6" s="1"/>
  <c r="L19" i="8" l="1"/>
  <c r="M18" i="8"/>
  <c r="H25" i="8"/>
  <c r="G19" i="8"/>
  <c r="J21" i="8"/>
  <c r="K19" i="8"/>
  <c r="J24" i="8"/>
  <c r="J27" i="8"/>
  <c r="J22" i="8"/>
  <c r="I19" i="8"/>
  <c r="D21" i="8"/>
  <c r="G21" i="8" s="1"/>
  <c r="D27" i="8"/>
  <c r="G27" i="8" s="1"/>
  <c r="D24" i="8"/>
  <c r="G24" i="8" s="1"/>
  <c r="I43" i="8"/>
  <c r="K43" i="8"/>
  <c r="G43" i="8"/>
  <c r="H41" i="8"/>
  <c r="F41" i="8"/>
  <c r="K34" i="8"/>
  <c r="J35" i="8"/>
  <c r="M33" i="8"/>
  <c r="L34" i="8"/>
  <c r="M34" i="8" s="1"/>
  <c r="L40" i="8"/>
  <c r="M40" i="8" s="1"/>
  <c r="E35" i="8"/>
  <c r="D37" i="8"/>
  <c r="E37" i="8" s="1"/>
  <c r="I35" i="8"/>
  <c r="E19" i="8"/>
  <c r="M7" i="8"/>
  <c r="I9" i="6"/>
  <c r="H12" i="6"/>
  <c r="G9" i="6"/>
  <c r="F12" i="6"/>
  <c r="K27" i="8" l="1"/>
  <c r="I27" i="8"/>
  <c r="I24" i="8"/>
  <c r="K24" i="8"/>
  <c r="D22" i="8"/>
  <c r="K21" i="8"/>
  <c r="J25" i="8"/>
  <c r="K22" i="8"/>
  <c r="I21" i="8"/>
  <c r="H28" i="8"/>
  <c r="E21" i="8"/>
  <c r="L24" i="8"/>
  <c r="M24" i="8" s="1"/>
  <c r="L21" i="8"/>
  <c r="M21" i="8" s="1"/>
  <c r="M19" i="8"/>
  <c r="L27" i="8"/>
  <c r="M27" i="8" s="1"/>
  <c r="L22" i="8"/>
  <c r="E27" i="8"/>
  <c r="E24" i="8"/>
  <c r="G37" i="8"/>
  <c r="L43" i="8"/>
  <c r="M43" i="8" s="1"/>
  <c r="J37" i="8"/>
  <c r="K37" i="8" s="1"/>
  <c r="K35" i="8"/>
  <c r="D38" i="8"/>
  <c r="F44" i="8"/>
  <c r="L35" i="8"/>
  <c r="I37" i="8"/>
  <c r="H44" i="8"/>
  <c r="G12" i="6"/>
  <c r="F18" i="6"/>
  <c r="I12" i="6"/>
  <c r="H18" i="6"/>
  <c r="M22" i="8" l="1"/>
  <c r="L25" i="8"/>
  <c r="J28" i="8"/>
  <c r="G22" i="8"/>
  <c r="I22" i="8"/>
  <c r="D25" i="8"/>
  <c r="E22" i="8"/>
  <c r="L37" i="8"/>
  <c r="M37" i="8" s="1"/>
  <c r="M35" i="8"/>
  <c r="E38" i="8"/>
  <c r="D41" i="8"/>
  <c r="I38" i="8"/>
  <c r="G38" i="8"/>
  <c r="J38" i="8"/>
  <c r="J7" i="6"/>
  <c r="I7" i="6"/>
  <c r="G7" i="6"/>
  <c r="E7" i="6"/>
  <c r="G25" i="8" l="1"/>
  <c r="I25" i="8"/>
  <c r="K25" i="8"/>
  <c r="L28" i="8"/>
  <c r="M25" i="8"/>
  <c r="D28" i="8"/>
  <c r="E25" i="8"/>
  <c r="D44" i="8"/>
  <c r="E41" i="8"/>
  <c r="I41" i="8"/>
  <c r="G41" i="8"/>
  <c r="J41" i="8"/>
  <c r="K38" i="8"/>
  <c r="L38" i="8"/>
  <c r="J11" i="6"/>
  <c r="K11" i="6" s="1"/>
  <c r="J8" i="6"/>
  <c r="K8" i="6" s="1"/>
  <c r="J9" i="6"/>
  <c r="J17" i="6"/>
  <c r="K17" i="6" s="1"/>
  <c r="E9" i="6"/>
  <c r="E11" i="6"/>
  <c r="E8" i="6"/>
  <c r="L7" i="6"/>
  <c r="K7" i="6"/>
  <c r="G28" i="8" l="1"/>
  <c r="I28" i="8"/>
  <c r="M28" i="8"/>
  <c r="K28" i="8"/>
  <c r="E28" i="8"/>
  <c r="M38" i="8"/>
  <c r="L41" i="8"/>
  <c r="K41" i="8"/>
  <c r="J44" i="8"/>
  <c r="K44" i="8" s="1"/>
  <c r="E44" i="8"/>
  <c r="I44" i="8"/>
  <c r="G44" i="8"/>
  <c r="K9" i="6"/>
  <c r="J12" i="6"/>
  <c r="J14" i="6"/>
  <c r="K14" i="6" s="1"/>
  <c r="L8" i="6"/>
  <c r="M8" i="6" s="1"/>
  <c r="L9" i="6"/>
  <c r="L17" i="6"/>
  <c r="M17" i="6" s="1"/>
  <c r="L11" i="6"/>
  <c r="M11" i="6" s="1"/>
  <c r="H15" i="6"/>
  <c r="F15" i="6"/>
  <c r="D15" i="6"/>
  <c r="I15" i="6" s="1"/>
  <c r="E12" i="6"/>
  <c r="D18" i="6"/>
  <c r="E17" i="6"/>
  <c r="E14" i="6"/>
  <c r="M7" i="6"/>
  <c r="L44" i="8" l="1"/>
  <c r="M44" i="8" s="1"/>
  <c r="M41" i="8"/>
  <c r="M9" i="6"/>
  <c r="L12" i="6"/>
  <c r="L14" i="6"/>
  <c r="M14" i="6" s="1"/>
  <c r="K12" i="6"/>
  <c r="J18" i="6"/>
  <c r="K18" i="6" s="1"/>
  <c r="I18" i="6"/>
  <c r="G18" i="6"/>
  <c r="J15" i="6"/>
  <c r="K15" i="6" s="1"/>
  <c r="G15" i="6"/>
  <c r="E15" i="6"/>
  <c r="E18" i="6"/>
  <c r="M12" i="6" l="1"/>
  <c r="L18" i="6"/>
  <c r="M18" i="6" s="1"/>
  <c r="L15" i="6"/>
  <c r="M15" i="6" s="1"/>
  <c r="H15" i="5" l="1"/>
  <c r="H17" i="5" s="1"/>
  <c r="F15" i="5"/>
  <c r="D15" i="5"/>
  <c r="D17" i="5" s="1"/>
  <c r="J7" i="5"/>
  <c r="J13" i="5"/>
  <c r="K13" i="5" s="1"/>
  <c r="J12" i="5"/>
  <c r="L12" i="5" s="1"/>
  <c r="M12" i="5" s="1"/>
  <c r="J11" i="5"/>
  <c r="L11" i="5" s="1"/>
  <c r="M11" i="5" s="1"/>
  <c r="J10" i="5"/>
  <c r="K10" i="5" s="1"/>
  <c r="J8" i="5"/>
  <c r="L8" i="5" s="1"/>
  <c r="M8" i="5" s="1"/>
  <c r="I8" i="5"/>
  <c r="I10" i="5"/>
  <c r="I11" i="5"/>
  <c r="I12" i="5"/>
  <c r="I13" i="5"/>
  <c r="G13" i="5"/>
  <c r="G12" i="5"/>
  <c r="G11" i="5"/>
  <c r="G10" i="5"/>
  <c r="G8" i="5"/>
  <c r="E13" i="5"/>
  <c r="E12" i="5"/>
  <c r="E11" i="5"/>
  <c r="E10" i="5"/>
  <c r="E8" i="5"/>
  <c r="I7" i="5"/>
  <c r="G7" i="5"/>
  <c r="E7" i="5"/>
  <c r="J19" i="4"/>
  <c r="J11" i="4"/>
  <c r="F12" i="4"/>
  <c r="G19" i="4"/>
  <c r="G11" i="4"/>
  <c r="F6" i="4"/>
  <c r="H20" i="4"/>
  <c r="I19" i="4"/>
  <c r="H12" i="4"/>
  <c r="I11" i="4"/>
  <c r="E19" i="4"/>
  <c r="D12" i="4"/>
  <c r="D20" i="4"/>
  <c r="G20" i="4" s="1"/>
  <c r="E11" i="4"/>
  <c r="H22" i="4" l="1"/>
  <c r="H21" i="4"/>
  <c r="H23" i="4" s="1"/>
  <c r="K19" i="4"/>
  <c r="F36" i="4"/>
  <c r="K11" i="4"/>
  <c r="F28" i="4"/>
  <c r="G12" i="4"/>
  <c r="K11" i="5"/>
  <c r="K12" i="5"/>
  <c r="J15" i="5"/>
  <c r="K15" i="5" s="1"/>
  <c r="G15" i="5"/>
  <c r="I17" i="5"/>
  <c r="F16" i="5"/>
  <c r="H16" i="5"/>
  <c r="I15" i="5"/>
  <c r="F17" i="5"/>
  <c r="L7" i="5"/>
  <c r="L10" i="5"/>
  <c r="M10" i="5" s="1"/>
  <c r="K8" i="5"/>
  <c r="L13" i="5"/>
  <c r="M13" i="5" s="1"/>
  <c r="D16" i="5"/>
  <c r="D18" i="5" s="1"/>
  <c r="E17" i="5"/>
  <c r="E15" i="5"/>
  <c r="K7" i="5"/>
  <c r="F21" i="4"/>
  <c r="F22" i="4"/>
  <c r="F13" i="4"/>
  <c r="L19" i="4"/>
  <c r="M19" i="4" s="1"/>
  <c r="J12" i="4"/>
  <c r="K12" i="4" s="1"/>
  <c r="J20" i="4"/>
  <c r="L20" i="4" s="1"/>
  <c r="M20" i="4" s="1"/>
  <c r="L11" i="4"/>
  <c r="M11" i="4" s="1"/>
  <c r="I20" i="4"/>
  <c r="I12" i="4"/>
  <c r="H13" i="4"/>
  <c r="F37" i="4" l="1"/>
  <c r="G36" i="4"/>
  <c r="J36" i="4"/>
  <c r="F29" i="4"/>
  <c r="J28" i="4"/>
  <c r="G28" i="4"/>
  <c r="J17" i="5"/>
  <c r="J16" i="5"/>
  <c r="K16" i="5" s="1"/>
  <c r="I16" i="5"/>
  <c r="G16" i="5"/>
  <c r="M7" i="5"/>
  <c r="L15" i="5"/>
  <c r="G17" i="5"/>
  <c r="F18" i="5"/>
  <c r="G18" i="5" s="1"/>
  <c r="K17" i="5"/>
  <c r="J18" i="5"/>
  <c r="K18" i="5" s="1"/>
  <c r="H18" i="5"/>
  <c r="I18" i="5" s="1"/>
  <c r="E18" i="5"/>
  <c r="E16" i="5"/>
  <c r="F23" i="4"/>
  <c r="F15" i="4"/>
  <c r="J22" i="4"/>
  <c r="K20" i="4"/>
  <c r="J13" i="4"/>
  <c r="J15" i="4" s="1"/>
  <c r="J4" i="4" s="1"/>
  <c r="L12" i="4"/>
  <c r="M12" i="4" s="1"/>
  <c r="J21" i="4"/>
  <c r="H5" i="4"/>
  <c r="H15" i="4"/>
  <c r="H4" i="4" s="1"/>
  <c r="K36" i="4" l="1"/>
  <c r="F53" i="4"/>
  <c r="L36" i="4"/>
  <c r="M36" i="4" s="1"/>
  <c r="J37" i="4"/>
  <c r="F38" i="4"/>
  <c r="G38" i="4" s="1"/>
  <c r="F39" i="4"/>
  <c r="G37" i="4"/>
  <c r="J29" i="4"/>
  <c r="F45" i="4"/>
  <c r="K28" i="4"/>
  <c r="L28" i="4"/>
  <c r="M28" i="4" s="1"/>
  <c r="F30" i="4"/>
  <c r="G30" i="4" s="1"/>
  <c r="G29" i="4"/>
  <c r="J23" i="4"/>
  <c r="J5" i="4" s="1"/>
  <c r="J6" i="4" s="1"/>
  <c r="L17" i="5"/>
  <c r="M17" i="5" s="1"/>
  <c r="M15" i="5"/>
  <c r="L16" i="5"/>
  <c r="M16" i="5" s="1"/>
  <c r="H6" i="4"/>
  <c r="F40" i="4" l="1"/>
  <c r="G40" i="4" s="1"/>
  <c r="G39" i="4"/>
  <c r="J39" i="4"/>
  <c r="J38" i="4"/>
  <c r="K37" i="4"/>
  <c r="L37" i="4"/>
  <c r="M37" i="4" s="1"/>
  <c r="F54" i="4"/>
  <c r="J53" i="4"/>
  <c r="G53" i="4"/>
  <c r="F32" i="4"/>
  <c r="G32" i="4" s="1"/>
  <c r="G45" i="4"/>
  <c r="F46" i="4"/>
  <c r="J45" i="4"/>
  <c r="J30" i="4"/>
  <c r="K29" i="4"/>
  <c r="L29" i="4"/>
  <c r="M29" i="4" s="1"/>
  <c r="L18" i="5"/>
  <c r="M18" i="5" s="1"/>
  <c r="D21" i="4"/>
  <c r="G21" i="4" s="1"/>
  <c r="E20" i="4"/>
  <c r="D22" i="4"/>
  <c r="G22" i="4" s="1"/>
  <c r="D13" i="4"/>
  <c r="E12" i="4"/>
  <c r="F55" i="4" l="1"/>
  <c r="F56" i="4"/>
  <c r="G56" i="4" s="1"/>
  <c r="G54" i="4"/>
  <c r="J40" i="4"/>
  <c r="K38" i="4"/>
  <c r="L38" i="4"/>
  <c r="M38" i="4" s="1"/>
  <c r="K39" i="4"/>
  <c r="L39" i="4"/>
  <c r="M39" i="4" s="1"/>
  <c r="J54" i="4"/>
  <c r="K53" i="4"/>
  <c r="L53" i="4"/>
  <c r="M53" i="4" s="1"/>
  <c r="K30" i="4"/>
  <c r="L30" i="4"/>
  <c r="M30" i="4" s="1"/>
  <c r="J32" i="4"/>
  <c r="K45" i="4"/>
  <c r="J46" i="4"/>
  <c r="L45" i="4"/>
  <c r="M45" i="4" s="1"/>
  <c r="G46" i="4"/>
  <c r="F47" i="4"/>
  <c r="E13" i="4"/>
  <c r="G13" i="4"/>
  <c r="E22" i="4"/>
  <c r="L22" i="4"/>
  <c r="M22" i="4" s="1"/>
  <c r="I22" i="4"/>
  <c r="K22" i="4"/>
  <c r="L13" i="4"/>
  <c r="M13" i="4" s="1"/>
  <c r="D15" i="4"/>
  <c r="I13" i="4"/>
  <c r="K13" i="4"/>
  <c r="E21" i="4"/>
  <c r="L21" i="4"/>
  <c r="M21" i="4" s="1"/>
  <c r="D23" i="4"/>
  <c r="I21" i="4"/>
  <c r="K21" i="4"/>
  <c r="K40" i="4" l="1"/>
  <c r="L40" i="4"/>
  <c r="M40" i="4" s="1"/>
  <c r="J55" i="4"/>
  <c r="K54" i="4"/>
  <c r="L54" i="4"/>
  <c r="M54" i="4" s="1"/>
  <c r="J56" i="4"/>
  <c r="J57" i="4" s="1"/>
  <c r="F57" i="4"/>
  <c r="G57" i="4" s="1"/>
  <c r="G55" i="4"/>
  <c r="F49" i="4"/>
  <c r="G49" i="4" s="1"/>
  <c r="G47" i="4"/>
  <c r="L46" i="4"/>
  <c r="M46" i="4" s="1"/>
  <c r="K46" i="4"/>
  <c r="J47" i="4"/>
  <c r="K32" i="4"/>
  <c r="L32" i="4"/>
  <c r="M32" i="4" s="1"/>
  <c r="D4" i="4"/>
  <c r="G4" i="4" s="1"/>
  <c r="G15" i="4"/>
  <c r="D5" i="4"/>
  <c r="G5" i="4" s="1"/>
  <c r="G23" i="4"/>
  <c r="E15" i="4"/>
  <c r="L15" i="4"/>
  <c r="K15" i="4"/>
  <c r="I15" i="4"/>
  <c r="E23" i="4"/>
  <c r="L23" i="4"/>
  <c r="K23" i="4"/>
  <c r="I23" i="4"/>
  <c r="K4" i="4" l="1"/>
  <c r="I4" i="4"/>
  <c r="D6" i="4"/>
  <c r="E6" i="4" s="1"/>
  <c r="E4" i="4"/>
  <c r="K57" i="4"/>
  <c r="L57" i="4"/>
  <c r="M57" i="4" s="1"/>
  <c r="K56" i="4"/>
  <c r="L56" i="4"/>
  <c r="M56" i="4" s="1"/>
  <c r="K55" i="4"/>
  <c r="L55" i="4"/>
  <c r="M55" i="4" s="1"/>
  <c r="J49" i="4"/>
  <c r="K47" i="4"/>
  <c r="L47" i="4"/>
  <c r="M47" i="4" s="1"/>
  <c r="K5" i="4"/>
  <c r="I5" i="4"/>
  <c r="E5" i="4"/>
  <c r="M23" i="4"/>
  <c r="L5" i="4"/>
  <c r="M5" i="4" s="1"/>
  <c r="K6" i="4"/>
  <c r="I6" i="4"/>
  <c r="M15" i="4"/>
  <c r="L4" i="4"/>
  <c r="K49" i="4" l="1"/>
  <c r="L49" i="4"/>
  <c r="M49" i="4" s="1"/>
  <c r="L6" i="4"/>
  <c r="M6" i="4" s="1"/>
  <c r="M4" i="4"/>
</calcChain>
</file>

<file path=xl/sharedStrings.xml><?xml version="1.0" encoding="utf-8"?>
<sst xmlns="http://schemas.openxmlformats.org/spreadsheetml/2006/main" count="365" uniqueCount="76">
  <si>
    <t>Remaining</t>
  </si>
  <si>
    <t>%</t>
  </si>
  <si>
    <t>A.1</t>
  </si>
  <si>
    <t>A.2</t>
  </si>
  <si>
    <t>A</t>
  </si>
  <si>
    <t>Equipment</t>
  </si>
  <si>
    <t>Delivery And Installation</t>
  </si>
  <si>
    <t>B</t>
  </si>
  <si>
    <t>C</t>
  </si>
  <si>
    <t>Total of A</t>
  </si>
  <si>
    <t>Item</t>
  </si>
  <si>
    <t>Desciption</t>
  </si>
  <si>
    <t>Contract</t>
  </si>
  <si>
    <t>Amount</t>
  </si>
  <si>
    <t>QTY</t>
  </si>
  <si>
    <t>VAT 7%</t>
  </si>
  <si>
    <t>E</t>
  </si>
  <si>
    <t>D</t>
  </si>
  <si>
    <t>Witholding Tax 3%</t>
  </si>
  <si>
    <t>Net Payment</t>
  </si>
  <si>
    <t xml:space="preserve">Cumulative </t>
  </si>
  <si>
    <t>Accumulative</t>
  </si>
  <si>
    <t>This Period</t>
  </si>
  <si>
    <t>A.3</t>
  </si>
  <si>
    <t>A.4</t>
  </si>
  <si>
    <t>A.5</t>
  </si>
  <si>
    <t>A.6</t>
  </si>
  <si>
    <t>หมวดงานระบบดับเพลิง</t>
  </si>
  <si>
    <t>Cummurative</t>
  </si>
  <si>
    <t>หมวดงานระบบสุขาภิบาล</t>
  </si>
  <si>
    <t>งานอื่นๆ ค่าขนส่ง,ค่าเดินทางและที่พัก</t>
  </si>
  <si>
    <t>ค่าขนเศษขยะและเศษวัสดุนำไปทิ้ง</t>
  </si>
  <si>
    <t>งานวัสดุสิ้นเปลือง</t>
  </si>
  <si>
    <t>ค่าดำเนินการ Overhead &amp; Profit</t>
  </si>
  <si>
    <t>MEGA ENGINEERING ASIA CO., LTD.</t>
  </si>
  <si>
    <t>PROJECT : ATLAS SUPERCLUB RATCHADA.</t>
  </si>
  <si>
    <t>BOQ OF THE PROJECT.</t>
  </si>
  <si>
    <t>BOQ FOR QUOTATION</t>
  </si>
  <si>
    <t>มูลค่าตามสัญญา</t>
  </si>
  <si>
    <t>หักประกันผลงาน 5%</t>
  </si>
  <si>
    <t>หักเงิน Advance</t>
  </si>
  <si>
    <t>VAT 7% of A-B</t>
  </si>
  <si>
    <t>PROJECT : The Quarter Ekkamai</t>
  </si>
  <si>
    <t>ADISORN CONSTRUCTION</t>
  </si>
  <si>
    <t>มูลค่าหลังหักเงินประกัน</t>
  </si>
  <si>
    <t>มูลค่าหลังบวกภาษีมูลค่าเพิ่ม 7%</t>
  </si>
  <si>
    <t>F</t>
  </si>
  <si>
    <t>G</t>
  </si>
  <si>
    <t>H</t>
  </si>
  <si>
    <t>I</t>
  </si>
  <si>
    <t>มูลค่าหลังหักเงิน Advance A-B</t>
  </si>
  <si>
    <t>Witholding Tax 3% of A-B</t>
  </si>
  <si>
    <t>Rebalance</t>
  </si>
  <si>
    <t>Unbalance</t>
  </si>
  <si>
    <t>Work changes from the drawing for bidding to for construction</t>
  </si>
  <si>
    <t>CO2 Effect System</t>
  </si>
  <si>
    <t>Pre - Action Station</t>
  </si>
  <si>
    <t>AVL2 Cable tray</t>
  </si>
  <si>
    <t>Main Incoming Work</t>
  </si>
  <si>
    <t>Rain Leader to site drainage</t>
  </si>
  <si>
    <t>IT System</t>
  </si>
  <si>
    <t>EOT of July - August</t>
  </si>
  <si>
    <t>Foundation for mechinery work</t>
  </si>
  <si>
    <t>B1</t>
  </si>
  <si>
    <t>มูลค่าหลังหักเงิน Advance A-B-B1</t>
  </si>
  <si>
    <t>หักเงิน Deduction</t>
  </si>
  <si>
    <t>2nd Period Equipment</t>
  </si>
  <si>
    <t>2nd Period Delivery and Installation</t>
  </si>
  <si>
    <t>1st Period Equipment (Deposit)</t>
  </si>
  <si>
    <t>1st Period Delivery and Installation (Deposit)</t>
  </si>
  <si>
    <t>50% of Original Quotation</t>
  </si>
  <si>
    <t>Note</t>
  </si>
  <si>
    <t>Revised Quotation to change some work based on usage of ATLAS</t>
  </si>
  <si>
    <t>Summary Payment</t>
  </si>
  <si>
    <t>3nd Period Equipment (Last Period)</t>
  </si>
  <si>
    <t>3nd Period Delivery and Installation (Last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</si>
</sst>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[$-1010409]d\ mmmm\ yyyy;@"/>
    <numFmt numFmtId="189" formatCode="&quot;หักเงิน Advance&quot;\ 0.00%"/>
  </numFmts>
  <fonts count="10" x14ac:knownFonts="1">
    <font>
      <sz val="10"/>
      <name val="Arial"/>
      <family val="2"/>
    </font>
    <font>
      <sz val="10"/>
      <name val="Arial"/>
      <family val="2"/>
    </font>
    <font>
      <sz val="14"/>
      <name val="Cordia New"/>
      <family val="2"/>
    </font>
    <font>
      <sz val="11"/>
      <color theme="1"/>
      <name val="Tahoma"/>
      <family val="2"/>
      <scheme val="minor"/>
    </font>
    <font>
      <sz val="10"/>
      <name val="Arial"/>
      <family val="2"/>
      <charset val="222"/>
    </font>
    <font>
      <b/>
      <sz val="10"/>
      <name val="Arial"/>
      <family val="2"/>
    </font>
    <font>
      <strike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2">
    <xf numFmtId="0" fontId="0" fillId="0" borderId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</cellStyleXfs>
  <cellXfs count="67">
    <xf numFmtId="0" fontId="0" fillId="0" borderId="0" xfId="0"/>
    <xf numFmtId="187" fontId="0" fillId="0" borderId="0" xfId="1" applyFont="1"/>
    <xf numFmtId="0" fontId="5" fillId="0" borderId="0" xfId="0" applyFont="1"/>
    <xf numFmtId="0" fontId="0" fillId="0" borderId="3" xfId="0" applyBorder="1"/>
    <xf numFmtId="187" fontId="0" fillId="0" borderId="3" xfId="1" applyFont="1" applyBorder="1"/>
    <xf numFmtId="10" fontId="0" fillId="0" borderId="3" xfId="2" applyNumberFormat="1" applyFont="1" applyBorder="1"/>
    <xf numFmtId="0" fontId="5" fillId="0" borderId="3" xfId="0" applyFont="1" applyBorder="1"/>
    <xf numFmtId="187" fontId="5" fillId="0" borderId="3" xfId="1" applyFont="1" applyBorder="1"/>
    <xf numFmtId="10" fontId="5" fillId="0" borderId="3" xfId="2" applyNumberFormat="1" applyFont="1" applyBorder="1"/>
    <xf numFmtId="0" fontId="6" fillId="4" borderId="3" xfId="0" applyFont="1" applyFill="1" applyBorder="1"/>
    <xf numFmtId="187" fontId="6" fillId="4" borderId="3" xfId="1" applyFont="1" applyFill="1" applyBorder="1"/>
    <xf numFmtId="10" fontId="6" fillId="4" borderId="3" xfId="2" applyNumberFormat="1" applyFont="1" applyFill="1" applyBorder="1"/>
    <xf numFmtId="10" fontId="0" fillId="2" borderId="3" xfId="2" applyNumberFormat="1" applyFont="1" applyFill="1" applyBorder="1"/>
    <xf numFmtId="0" fontId="0" fillId="3" borderId="3" xfId="0" applyFill="1" applyBorder="1" applyAlignment="1">
      <alignment horizontal="center" vertical="center"/>
    </xf>
    <xf numFmtId="187" fontId="0" fillId="0" borderId="3" xfId="0" applyNumberFormat="1" applyBorder="1"/>
    <xf numFmtId="187" fontId="5" fillId="0" borderId="3" xfId="0" applyNumberFormat="1" applyFont="1" applyBorder="1"/>
    <xf numFmtId="187" fontId="0" fillId="2" borderId="3" xfId="0" applyNumberFormat="1" applyFill="1" applyBorder="1"/>
    <xf numFmtId="187" fontId="5" fillId="2" borderId="3" xfId="0" applyNumberFormat="1" applyFont="1" applyFill="1" applyBorder="1"/>
    <xf numFmtId="10" fontId="5" fillId="2" borderId="3" xfId="2" applyNumberFormat="1" applyFont="1" applyFill="1" applyBorder="1"/>
    <xf numFmtId="0" fontId="0" fillId="6" borderId="3" xfId="0" applyFill="1" applyBorder="1" applyAlignment="1">
      <alignment horizontal="center" vertical="center"/>
    </xf>
    <xf numFmtId="187" fontId="0" fillId="5" borderId="3" xfId="1" applyFont="1" applyFill="1" applyBorder="1"/>
    <xf numFmtId="10" fontId="0" fillId="5" borderId="3" xfId="2" applyNumberFormat="1" applyFont="1" applyFill="1" applyBorder="1"/>
    <xf numFmtId="187" fontId="5" fillId="5" borderId="3" xfId="1" applyFont="1" applyFill="1" applyBorder="1"/>
    <xf numFmtId="0" fontId="0" fillId="0" borderId="0" xfId="0" applyAlignment="1">
      <alignment horizontal="center"/>
    </xf>
    <xf numFmtId="10" fontId="5" fillId="5" borderId="3" xfId="2" applyNumberFormat="1" applyFont="1" applyFill="1" applyBorder="1"/>
    <xf numFmtId="0" fontId="0" fillId="0" borderId="0" xfId="0" applyAlignment="1">
      <alignment horizontal="right"/>
    </xf>
    <xf numFmtId="187" fontId="0" fillId="0" borderId="3" xfId="1" applyFont="1" applyFill="1" applyBorder="1"/>
    <xf numFmtId="10" fontId="0" fillId="0" borderId="3" xfId="2" applyNumberFormat="1" applyFont="1" applyFill="1" applyBorder="1"/>
    <xf numFmtId="187" fontId="5" fillId="0" borderId="3" xfId="1" applyFont="1" applyFill="1" applyBorder="1"/>
    <xf numFmtId="10" fontId="5" fillId="0" borderId="3" xfId="2" applyNumberFormat="1" applyFont="1" applyFill="1" applyBorder="1"/>
    <xf numFmtId="0" fontId="8" fillId="0" borderId="3" xfId="0" applyFont="1" applyBorder="1"/>
    <xf numFmtId="187" fontId="8" fillId="0" borderId="3" xfId="1" applyFont="1" applyFill="1" applyBorder="1"/>
    <xf numFmtId="10" fontId="8" fillId="0" borderId="3" xfId="2" applyNumberFormat="1" applyFont="1" applyFill="1" applyBorder="1"/>
    <xf numFmtId="187" fontId="0" fillId="7" borderId="3" xfId="1" applyFont="1" applyFill="1" applyBorder="1"/>
    <xf numFmtId="10" fontId="0" fillId="7" borderId="3" xfId="2" applyNumberFormat="1" applyFont="1" applyFill="1" applyBorder="1"/>
    <xf numFmtId="187" fontId="8" fillId="7" borderId="3" xfId="1" applyFont="1" applyFill="1" applyBorder="1"/>
    <xf numFmtId="10" fontId="8" fillId="7" borderId="3" xfId="2" applyNumberFormat="1" applyFont="1" applyFill="1" applyBorder="1"/>
    <xf numFmtId="187" fontId="5" fillId="7" borderId="3" xfId="1" applyFont="1" applyFill="1" applyBorder="1"/>
    <xf numFmtId="10" fontId="5" fillId="7" borderId="3" xfId="2" applyNumberFormat="1" applyFont="1" applyFill="1" applyBorder="1"/>
    <xf numFmtId="0" fontId="8" fillId="0" borderId="0" xfId="0" applyFont="1"/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89" fontId="8" fillId="0" borderId="3" xfId="2" applyNumberFormat="1" applyFont="1" applyBorder="1" applyAlignment="1">
      <alignment horizontal="left"/>
    </xf>
    <xf numFmtId="187" fontId="8" fillId="8" borderId="3" xfId="1" applyFont="1" applyFill="1" applyBorder="1"/>
    <xf numFmtId="187" fontId="0" fillId="8" borderId="3" xfId="1" applyFont="1" applyFill="1" applyBorder="1"/>
    <xf numFmtId="0" fontId="0" fillId="0" borderId="3" xfId="0" applyBorder="1" applyAlignment="1">
      <alignment horizontal="left"/>
    </xf>
    <xf numFmtId="189" fontId="0" fillId="0" borderId="3" xfId="2" applyNumberFormat="1" applyFont="1" applyBorder="1" applyAlignment="1">
      <alignment horizontal="left"/>
    </xf>
    <xf numFmtId="187" fontId="1" fillId="0" borderId="3" xfId="1" applyFont="1" applyFill="1" applyBorder="1"/>
    <xf numFmtId="10" fontId="1" fillId="0" borderId="3" xfId="2" applyNumberFormat="1" applyFont="1" applyFill="1" applyBorder="1"/>
    <xf numFmtId="187" fontId="1" fillId="7" borderId="3" xfId="1" applyFont="1" applyFill="1" applyBorder="1"/>
    <xf numFmtId="10" fontId="1" fillId="7" borderId="3" xfId="2" applyNumberFormat="1" applyFont="1" applyFill="1" applyBorder="1"/>
    <xf numFmtId="0" fontId="8" fillId="0" borderId="3" xfId="0" applyFont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88" fontId="0" fillId="0" borderId="0" xfId="0" applyNumberFormat="1" applyAlignment="1">
      <alignment horizontal="right"/>
    </xf>
    <xf numFmtId="187" fontId="0" fillId="2" borderId="3" xfId="1" applyFont="1" applyFill="1" applyBorder="1"/>
    <xf numFmtId="187" fontId="5" fillId="2" borderId="3" xfId="1" applyFont="1" applyFill="1" applyBorder="1"/>
    <xf numFmtId="0" fontId="0" fillId="0" borderId="4" xfId="0" applyBorder="1" applyAlignment="1">
      <alignment horizontal="left" vertical="top" wrapText="1"/>
    </xf>
    <xf numFmtId="187" fontId="9" fillId="0" borderId="3" xfId="1" applyFont="1" applyBorder="1"/>
    <xf numFmtId="0" fontId="9" fillId="9" borderId="3" xfId="0" applyFont="1" applyFill="1" applyBorder="1" applyAlignment="1">
      <alignment horizontal="center"/>
    </xf>
  </cellXfs>
  <cellStyles count="12">
    <cellStyle name="Comma" xfId="1" builtinId="3"/>
    <cellStyle name="Comma 11" xfId="6" xr:uid="{70780190-95A6-49BD-A06B-B7A353DC09DA}"/>
    <cellStyle name="Comma 2" xfId="11" xr:uid="{D8D0A404-0A1E-4341-BB4E-DFA18DB601EF}"/>
    <cellStyle name="Normal" xfId="0" builtinId="0"/>
    <cellStyle name="Normal 10" xfId="8" xr:uid="{68C640D5-CDC9-4825-AB2C-AF811BCF9A88}"/>
    <cellStyle name="Normal 2" xfId="10" xr:uid="{6701085C-6EB6-4BC9-9424-81A5A1167B26}"/>
    <cellStyle name="Normal 34" xfId="5" xr:uid="{E640F89D-9F74-4E1B-945B-E20D233D4CB4}"/>
    <cellStyle name="Normal 5 2 2" xfId="9" xr:uid="{99E4B940-4209-481E-B07A-000378CA954A}"/>
    <cellStyle name="Percent" xfId="2" builtinId="5"/>
    <cellStyle name="เครื่องหมายจุลภาค 2 3" xfId="3" xr:uid="{6CB3A3F9-C113-4A99-9DAC-092CB58AFA8A}"/>
    <cellStyle name="เครื่องหมายจุลภาค 2 3 2 2 2" xfId="4" xr:uid="{D6BD0A71-9996-4C4F-836E-0666A2E23CCA}"/>
    <cellStyle name="ปกติ 2 3 2 2 2" xfId="7" xr:uid="{FB8E89CC-90B4-4A85-8398-6E9042950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1474388</xdr:colOff>
      <xdr:row>3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258CC-646B-44B7-A185-C735EA41F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3988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0855-46B3-4BF5-9ABB-AB9FB7A0A72D}">
  <dimension ref="A1:M18"/>
  <sheetViews>
    <sheetView workbookViewId="0">
      <selection activeCell="J22" sqref="J22"/>
    </sheetView>
  </sheetViews>
  <sheetFormatPr defaultRowHeight="12.75" x14ac:dyDescent="0.2"/>
  <cols>
    <col min="2" max="2" width="28.140625" customWidth="1"/>
    <col min="3" max="3" width="4.5703125" bestFit="1" customWidth="1"/>
    <col min="4" max="4" width="15.85546875" customWidth="1"/>
    <col min="6" max="6" width="15.85546875" customWidth="1"/>
    <col min="8" max="8" width="15.85546875" customWidth="1"/>
    <col min="10" max="10" width="15.85546875" customWidth="1"/>
    <col min="12" max="12" width="15.85546875" customWidth="1"/>
  </cols>
  <sheetData>
    <row r="1" spans="1:13" x14ac:dyDescent="0.2">
      <c r="A1" s="2" t="s">
        <v>43</v>
      </c>
    </row>
    <row r="2" spans="1:13" x14ac:dyDescent="0.2">
      <c r="A2" s="2" t="s">
        <v>42</v>
      </c>
    </row>
    <row r="3" spans="1:13" x14ac:dyDescent="0.2">
      <c r="A3" s="2" t="s">
        <v>36</v>
      </c>
    </row>
    <row r="5" spans="1:13" x14ac:dyDescent="0.2">
      <c r="A5" s="54" t="s">
        <v>10</v>
      </c>
      <c r="B5" s="54" t="s">
        <v>11</v>
      </c>
      <c r="C5" s="54" t="s">
        <v>14</v>
      </c>
      <c r="D5" s="54" t="s">
        <v>12</v>
      </c>
      <c r="E5" s="54"/>
      <c r="F5" s="55" t="s">
        <v>21</v>
      </c>
      <c r="G5" s="56"/>
      <c r="H5" s="53" t="s">
        <v>22</v>
      </c>
      <c r="I5" s="53"/>
      <c r="J5" s="53" t="s">
        <v>28</v>
      </c>
      <c r="K5" s="53"/>
      <c r="L5" s="53" t="s">
        <v>0</v>
      </c>
      <c r="M5" s="53"/>
    </row>
    <row r="6" spans="1:13" x14ac:dyDescent="0.2">
      <c r="A6" s="54"/>
      <c r="B6" s="54"/>
      <c r="C6" s="54"/>
      <c r="D6" s="19" t="s">
        <v>13</v>
      </c>
      <c r="E6" s="19" t="s">
        <v>1</v>
      </c>
      <c r="F6" s="19" t="s">
        <v>13</v>
      </c>
      <c r="G6" s="19" t="s">
        <v>1</v>
      </c>
      <c r="H6" s="19" t="s">
        <v>13</v>
      </c>
      <c r="I6" s="19" t="s">
        <v>1</v>
      </c>
      <c r="J6" s="19" t="s">
        <v>13</v>
      </c>
      <c r="K6" s="19" t="s">
        <v>1</v>
      </c>
      <c r="L6" s="19" t="s">
        <v>13</v>
      </c>
      <c r="M6" s="19" t="s">
        <v>1</v>
      </c>
    </row>
    <row r="7" spans="1:13" x14ac:dyDescent="0.2">
      <c r="A7" s="3" t="s">
        <v>4</v>
      </c>
      <c r="B7" s="3" t="s">
        <v>38</v>
      </c>
      <c r="C7" s="3">
        <v>1</v>
      </c>
      <c r="D7" s="26">
        <v>142056074.77000001</v>
      </c>
      <c r="E7" s="27">
        <f>D7/$D7</f>
        <v>1</v>
      </c>
      <c r="F7" s="26">
        <v>31660700.940000001</v>
      </c>
      <c r="G7" s="27">
        <f t="shared" ref="G7" si="0">F7/$D7</f>
        <v>0.22287467108507097</v>
      </c>
      <c r="H7" s="33">
        <v>5826961.2300000004</v>
      </c>
      <c r="I7" s="34">
        <f t="shared" ref="I7" si="1">H7/$D7</f>
        <v>4.1018740236447547E-2</v>
      </c>
      <c r="J7" s="26">
        <f>F7+H7</f>
        <v>37487662.170000002</v>
      </c>
      <c r="K7" s="27">
        <f t="shared" ref="K7:M7" si="2">J7/$D7</f>
        <v>0.2638934113215185</v>
      </c>
      <c r="L7" s="26">
        <f>D7-J7</f>
        <v>104568412.60000001</v>
      </c>
      <c r="M7" s="27">
        <f t="shared" si="2"/>
        <v>0.73610658867848144</v>
      </c>
    </row>
    <row r="8" spans="1:13" s="39" customFormat="1" x14ac:dyDescent="0.2">
      <c r="A8" s="30" t="s">
        <v>7</v>
      </c>
      <c r="B8" s="30" t="s">
        <v>40</v>
      </c>
      <c r="C8" s="30">
        <v>1</v>
      </c>
      <c r="D8" s="31">
        <f>ROUND(D7*10%,2)</f>
        <v>14205607.48</v>
      </c>
      <c r="E8" s="32">
        <f t="shared" ref="E8:M12" si="3">D8/$D8</f>
        <v>1</v>
      </c>
      <c r="F8" s="31">
        <f t="shared" ref="F8" si="4">ROUND(F7*10%,2)</f>
        <v>3166070.09</v>
      </c>
      <c r="G8" s="32">
        <f t="shared" si="3"/>
        <v>0.22287467075642439</v>
      </c>
      <c r="H8" s="35">
        <f t="shared" ref="H8" si="5">ROUND(H7*10%,2)</f>
        <v>582696.12</v>
      </c>
      <c r="I8" s="36">
        <f t="shared" si="3"/>
        <v>4.1018740016600823E-2</v>
      </c>
      <c r="J8" s="31">
        <f t="shared" ref="J8" si="6">ROUND(J7*10%,2)</f>
        <v>3748766.22</v>
      </c>
      <c r="K8" s="32">
        <f t="shared" si="3"/>
        <v>0.26389341147697259</v>
      </c>
      <c r="L8" s="31">
        <f t="shared" ref="L8" si="7">ROUND(L7*10%,2)</f>
        <v>10456841.26</v>
      </c>
      <c r="M8" s="32">
        <f t="shared" si="3"/>
        <v>0.73610658852302735</v>
      </c>
    </row>
    <row r="9" spans="1:13" s="2" customFormat="1" x14ac:dyDescent="0.2">
      <c r="A9" s="6" t="s">
        <v>8</v>
      </c>
      <c r="B9" s="6" t="s">
        <v>50</v>
      </c>
      <c r="C9" s="6">
        <v>1</v>
      </c>
      <c r="D9" s="28">
        <f>D7-D8</f>
        <v>127850467.29000001</v>
      </c>
      <c r="E9" s="29">
        <f t="shared" si="3"/>
        <v>1</v>
      </c>
      <c r="F9" s="28">
        <f t="shared" ref="F9" si="8">F7-F8</f>
        <v>28494630.850000001</v>
      </c>
      <c r="G9" s="29">
        <f t="shared" si="3"/>
        <v>0.22287467112158726</v>
      </c>
      <c r="H9" s="37">
        <f t="shared" ref="H9" si="9">H7-H8</f>
        <v>5244265.1100000003</v>
      </c>
      <c r="I9" s="38">
        <f t="shared" si="3"/>
        <v>4.1018740260874959E-2</v>
      </c>
      <c r="J9" s="28">
        <f t="shared" ref="J9" si="10">J7-J8</f>
        <v>33738895.950000003</v>
      </c>
      <c r="K9" s="29">
        <f t="shared" si="3"/>
        <v>0.26389341130424587</v>
      </c>
      <c r="L9" s="28">
        <f t="shared" ref="L9" si="11">L7-L8</f>
        <v>94111571.340000004</v>
      </c>
      <c r="M9" s="29">
        <f t="shared" si="3"/>
        <v>0.73610658869575418</v>
      </c>
    </row>
    <row r="10" spans="1:13" x14ac:dyDescent="0.2">
      <c r="A10" s="3"/>
      <c r="B10" s="3"/>
      <c r="C10" s="3"/>
      <c r="D10" s="26"/>
      <c r="E10" s="27"/>
      <c r="F10" s="26"/>
      <c r="G10" s="27"/>
      <c r="H10" s="33"/>
      <c r="I10" s="34"/>
      <c r="J10" s="26"/>
      <c r="K10" s="27"/>
      <c r="L10" s="26"/>
      <c r="M10" s="27"/>
    </row>
    <row r="11" spans="1:13" s="39" customFormat="1" x14ac:dyDescent="0.2">
      <c r="A11" s="30" t="s">
        <v>17</v>
      </c>
      <c r="B11" s="30" t="s">
        <v>39</v>
      </c>
      <c r="C11" s="30">
        <v>1</v>
      </c>
      <c r="D11" s="31">
        <f>ROUND(D7*5%,2)</f>
        <v>7102803.7400000002</v>
      </c>
      <c r="E11" s="32">
        <f t="shared" si="3"/>
        <v>1</v>
      </c>
      <c r="F11" s="31">
        <f t="shared" ref="F11" si="12">ROUND(F7*5%,2)</f>
        <v>1583035.05</v>
      </c>
      <c r="G11" s="32">
        <f t="shared" si="3"/>
        <v>0.22287467146037179</v>
      </c>
      <c r="H11" s="35">
        <f t="shared" ref="H11" si="13">ROUND(H7*5%,2)</f>
        <v>291348.06</v>
      </c>
      <c r="I11" s="36">
        <f t="shared" si="3"/>
        <v>4.1018740016600823E-2</v>
      </c>
      <c r="J11" s="31">
        <f t="shared" ref="J11" si="14">ROUND(J7*5%,2)</f>
        <v>1874383.11</v>
      </c>
      <c r="K11" s="32">
        <f t="shared" si="3"/>
        <v>0.26389341147697259</v>
      </c>
      <c r="L11" s="31">
        <f t="shared" ref="L11" si="15">ROUND(L7*5%,2)</f>
        <v>5228420.63</v>
      </c>
      <c r="M11" s="32">
        <f t="shared" si="3"/>
        <v>0.73610658852302735</v>
      </c>
    </row>
    <row r="12" spans="1:13" s="2" customFormat="1" x14ac:dyDescent="0.2">
      <c r="A12" s="6" t="s">
        <v>16</v>
      </c>
      <c r="B12" s="6" t="s">
        <v>44</v>
      </c>
      <c r="C12" s="6">
        <v>1</v>
      </c>
      <c r="D12" s="28">
        <f>D9-D11</f>
        <v>120747663.55000001</v>
      </c>
      <c r="E12" s="29">
        <f t="shared" si="3"/>
        <v>1</v>
      </c>
      <c r="F12" s="28">
        <f t="shared" ref="F12" si="16">F9-F11</f>
        <v>26911595.800000001</v>
      </c>
      <c r="G12" s="29">
        <f t="shared" si="3"/>
        <v>0.22287467110165873</v>
      </c>
      <c r="H12" s="37">
        <f t="shared" ref="H12" si="17">H9-H11</f>
        <v>4952917.0500000007</v>
      </c>
      <c r="I12" s="38">
        <f t="shared" si="3"/>
        <v>4.1018740275244027E-2</v>
      </c>
      <c r="J12" s="28">
        <f t="shared" ref="J12" si="18">J9-J11</f>
        <v>31864512.840000004</v>
      </c>
      <c r="K12" s="29">
        <f t="shared" si="3"/>
        <v>0.26389341129408544</v>
      </c>
      <c r="L12" s="28">
        <f t="shared" ref="L12" si="19">L9-L11</f>
        <v>88883150.710000008</v>
      </c>
      <c r="M12" s="29">
        <f t="shared" si="3"/>
        <v>0.7361065887059145</v>
      </c>
    </row>
    <row r="13" spans="1:13" x14ac:dyDescent="0.2">
      <c r="A13" s="6"/>
      <c r="B13" s="3"/>
      <c r="C13" s="3"/>
      <c r="D13" s="26"/>
      <c r="E13" s="27"/>
      <c r="F13" s="26"/>
      <c r="G13" s="27"/>
      <c r="H13" s="33"/>
      <c r="I13" s="34"/>
      <c r="J13" s="26"/>
      <c r="K13" s="27"/>
      <c r="L13" s="26"/>
      <c r="M13" s="27"/>
    </row>
    <row r="14" spans="1:13" x14ac:dyDescent="0.2">
      <c r="A14" s="3" t="s">
        <v>46</v>
      </c>
      <c r="B14" s="3" t="s">
        <v>41</v>
      </c>
      <c r="C14" s="3">
        <v>1</v>
      </c>
      <c r="D14" s="26">
        <f>ROUND((D$7-D$8)*7%,2)</f>
        <v>8949532.7100000009</v>
      </c>
      <c r="E14" s="27">
        <f>D14/$D14</f>
        <v>1</v>
      </c>
      <c r="F14" s="26">
        <f t="shared" ref="F14" si="20">ROUND((F$7-F$8)*7%,2)</f>
        <v>1994624.16</v>
      </c>
      <c r="G14" s="27">
        <f t="shared" ref="G14" si="21">F14/$D14</f>
        <v>0.22287467118492713</v>
      </c>
      <c r="H14" s="33">
        <f t="shared" ref="H14" si="22">ROUND((H$7-H$8)*7%,2)</f>
        <v>367098.56</v>
      </c>
      <c r="I14" s="34">
        <f t="shared" ref="I14" si="23">H14/$D14</f>
        <v>4.1018740519246616E-2</v>
      </c>
      <c r="J14" s="26">
        <f t="shared" ref="J14" si="24">ROUND((J$7-J$8)*7%,2)</f>
        <v>2361722.7200000002</v>
      </c>
      <c r="K14" s="27">
        <f t="shared" ref="K14" si="25">J14/$D14</f>
        <v>0.26389341170417374</v>
      </c>
      <c r="L14" s="26">
        <f t="shared" ref="L14" si="26">ROUND((L$7-L$8)*7%,2)</f>
        <v>6587809.9900000002</v>
      </c>
      <c r="M14" s="27">
        <f t="shared" ref="M14" si="27">L14/$D14</f>
        <v>0.7361065882958262</v>
      </c>
    </row>
    <row r="15" spans="1:13" s="2" customFormat="1" x14ac:dyDescent="0.2">
      <c r="A15" s="6" t="s">
        <v>47</v>
      </c>
      <c r="B15" s="6" t="s">
        <v>45</v>
      </c>
      <c r="C15" s="6">
        <v>1</v>
      </c>
      <c r="D15" s="28">
        <f>SUM(D12:D14)</f>
        <v>129697196.26000002</v>
      </c>
      <c r="E15" s="29">
        <f>D15/$D15</f>
        <v>1</v>
      </c>
      <c r="F15" s="28">
        <f>SUM(F12:F14)</f>
        <v>28906219.960000001</v>
      </c>
      <c r="G15" s="29">
        <f>F15/$D15</f>
        <v>0.22287467110740453</v>
      </c>
      <c r="H15" s="37">
        <f>SUM(H12:H14)</f>
        <v>5320015.6100000003</v>
      </c>
      <c r="I15" s="38">
        <f>H15/$D15</f>
        <v>4.1018740292081003E-2</v>
      </c>
      <c r="J15" s="28">
        <f>SUM(J12:J14)</f>
        <v>34226235.560000002</v>
      </c>
      <c r="K15" s="29">
        <f>J15/$D15</f>
        <v>0.26389341132238286</v>
      </c>
      <c r="L15" s="28">
        <f>SUM(L12:L14)</f>
        <v>95470960.700000003</v>
      </c>
      <c r="M15" s="29">
        <f>L15/$D15</f>
        <v>0.73610658867761702</v>
      </c>
    </row>
    <row r="16" spans="1:13" x14ac:dyDescent="0.2">
      <c r="A16" s="3"/>
      <c r="B16" s="3"/>
      <c r="C16" s="3"/>
      <c r="D16" s="26"/>
      <c r="E16" s="27"/>
      <c r="F16" s="26"/>
      <c r="G16" s="27"/>
      <c r="H16" s="33"/>
      <c r="I16" s="34"/>
      <c r="J16" s="26"/>
      <c r="K16" s="27"/>
      <c r="L16" s="26"/>
      <c r="M16" s="27"/>
    </row>
    <row r="17" spans="1:13" s="39" customFormat="1" x14ac:dyDescent="0.2">
      <c r="A17" s="30" t="s">
        <v>48</v>
      </c>
      <c r="B17" s="30" t="s">
        <v>51</v>
      </c>
      <c r="C17" s="30">
        <v>1</v>
      </c>
      <c r="D17" s="31">
        <f>ROUND((D$7-D$8)*3%,2)</f>
        <v>3835514.02</v>
      </c>
      <c r="E17" s="32">
        <f>D17/$D17</f>
        <v>1</v>
      </c>
      <c r="F17" s="31">
        <f t="shared" ref="F17" si="28">ROUND((F$7-F$8)*3%,2)</f>
        <v>854838.93</v>
      </c>
      <c r="G17" s="32">
        <f t="shared" ref="G17" si="29">F17/$D17</f>
        <v>0.22287467221929227</v>
      </c>
      <c r="H17" s="35">
        <f>ROUND((H$7-H$8)*3%,2)</f>
        <v>157327.95000000001</v>
      </c>
      <c r="I17" s="36">
        <f t="shared" ref="I17" si="30">H17/$D17</f>
        <v>4.1018739386592049E-2</v>
      </c>
      <c r="J17" s="31">
        <f t="shared" ref="J17" si="31">ROUND((J$7-J$8)*3%,2)</f>
        <v>1012166.88</v>
      </c>
      <c r="K17" s="32">
        <f t="shared" ref="K17" si="32">J17/$D17</f>
        <v>0.26389341160588431</v>
      </c>
      <c r="L17" s="31">
        <f t="shared" ref="L17" si="33">ROUND((L$7-L$8)*3%,2)</f>
        <v>2823347.14</v>
      </c>
      <c r="M17" s="32">
        <f t="shared" ref="M17:M18" si="34">L17/$D17</f>
        <v>0.73610658839411569</v>
      </c>
    </row>
    <row r="18" spans="1:13" s="2" customFormat="1" x14ac:dyDescent="0.2">
      <c r="A18" s="6" t="s">
        <v>49</v>
      </c>
      <c r="B18" s="6" t="s">
        <v>19</v>
      </c>
      <c r="C18" s="6">
        <v>1</v>
      </c>
      <c r="D18" s="28">
        <f>SUM(D12:D14)-D17</f>
        <v>125861682.24000002</v>
      </c>
      <c r="E18" s="29">
        <f>D18/$D18</f>
        <v>1</v>
      </c>
      <c r="F18" s="28">
        <f t="shared" ref="F18" si="35">SUM(F12:F14)-F17</f>
        <v>28051381.030000001</v>
      </c>
      <c r="G18" s="29">
        <f t="shared" ref="G18" si="36">F18/$D18</f>
        <v>0.2228746710735208</v>
      </c>
      <c r="H18" s="37">
        <f>SUM(H12:H14)-H17</f>
        <v>5162687.66</v>
      </c>
      <c r="I18" s="38">
        <f t="shared" ref="I18" si="37">H18/$D18</f>
        <v>4.101874031967491E-2</v>
      </c>
      <c r="J18" s="28">
        <f t="shared" ref="J18" si="38">SUM(J12:J14)-J17</f>
        <v>33214068.680000003</v>
      </c>
      <c r="K18" s="29">
        <f t="shared" ref="K18" si="39">J18/$D18</f>
        <v>0.26389341131374344</v>
      </c>
      <c r="L18" s="28">
        <f t="shared" ref="L18" si="40">SUM(L12:L14)-L17</f>
        <v>92647613.560000002</v>
      </c>
      <c r="M18" s="29">
        <f t="shared" si="34"/>
        <v>0.73610658868625645</v>
      </c>
    </row>
  </sheetData>
  <mergeCells count="8">
    <mergeCell ref="L5:M5"/>
    <mergeCell ref="A5:A6"/>
    <mergeCell ref="B5:B6"/>
    <mergeCell ref="C5:C6"/>
    <mergeCell ref="D5:E5"/>
    <mergeCell ref="F5:G5"/>
    <mergeCell ref="H5:I5"/>
    <mergeCell ref="J5:K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3CF0-1C5A-4948-8E78-BCC80FF413A3}">
  <dimension ref="A1:N57"/>
  <sheetViews>
    <sheetView tabSelected="1" workbookViewId="0">
      <selection activeCell="Q46" sqref="Q46"/>
    </sheetView>
  </sheetViews>
  <sheetFormatPr defaultRowHeight="12.75" x14ac:dyDescent="0.2"/>
  <cols>
    <col min="2" max="2" width="20.7109375" customWidth="1"/>
    <col min="3" max="3" width="4.5703125" style="23" bestFit="1" customWidth="1"/>
    <col min="4" max="4" width="13.85546875" customWidth="1"/>
    <col min="5" max="5" width="8.7109375" customWidth="1"/>
    <col min="6" max="6" width="13.85546875" customWidth="1"/>
    <col min="7" max="7" width="8.7109375" customWidth="1"/>
    <col min="8" max="8" width="13.85546875" customWidth="1"/>
    <col min="9" max="9" width="8.7109375" customWidth="1"/>
    <col min="10" max="10" width="13.85546875" customWidth="1"/>
    <col min="11" max="11" width="8.7109375" customWidth="1"/>
    <col min="12" max="12" width="13.85546875" customWidth="1"/>
    <col min="13" max="13" width="8.7109375" customWidth="1"/>
    <col min="14" max="14" width="22.85546875" customWidth="1"/>
  </cols>
  <sheetData>
    <row r="1" spans="1:14" x14ac:dyDescent="0.2">
      <c r="A1" s="2" t="s">
        <v>73</v>
      </c>
    </row>
    <row r="2" spans="1:14" x14ac:dyDescent="0.2">
      <c r="A2" s="57" t="s">
        <v>10</v>
      </c>
      <c r="B2" s="57" t="s">
        <v>11</v>
      </c>
      <c r="C2" s="57" t="s">
        <v>14</v>
      </c>
      <c r="D2" s="57" t="s">
        <v>12</v>
      </c>
      <c r="E2" s="57"/>
      <c r="F2" s="59" t="s">
        <v>21</v>
      </c>
      <c r="G2" s="60"/>
      <c r="H2" s="58" t="s">
        <v>22</v>
      </c>
      <c r="I2" s="58"/>
      <c r="J2" s="58" t="s">
        <v>20</v>
      </c>
      <c r="K2" s="58"/>
      <c r="L2" s="58" t="s">
        <v>0</v>
      </c>
      <c r="M2" s="58"/>
      <c r="N2" s="66" t="s">
        <v>71</v>
      </c>
    </row>
    <row r="3" spans="1:14" x14ac:dyDescent="0.2">
      <c r="A3" s="57"/>
      <c r="B3" s="57"/>
      <c r="C3" s="57"/>
      <c r="D3" s="13" t="s">
        <v>13</v>
      </c>
      <c r="E3" s="13" t="s">
        <v>1</v>
      </c>
      <c r="F3" s="13" t="s">
        <v>13</v>
      </c>
      <c r="G3" s="13" t="s">
        <v>1</v>
      </c>
      <c r="H3" s="13" t="s">
        <v>13</v>
      </c>
      <c r="I3" s="13" t="s">
        <v>1</v>
      </c>
      <c r="J3" s="13" t="s">
        <v>13</v>
      </c>
      <c r="K3" s="13" t="s">
        <v>1</v>
      </c>
      <c r="L3" s="13" t="s">
        <v>13</v>
      </c>
      <c r="M3" s="13" t="s">
        <v>1</v>
      </c>
    </row>
    <row r="4" spans="1:14" x14ac:dyDescent="0.2">
      <c r="A4" s="3" t="s">
        <v>4</v>
      </c>
      <c r="B4" s="3" t="s">
        <v>5</v>
      </c>
      <c r="C4" s="40">
        <v>1</v>
      </c>
      <c r="D4" s="14">
        <f>D15</f>
        <v>2232073.5</v>
      </c>
      <c r="E4" s="5">
        <f t="shared" ref="E4:E6" si="0">D4/$D4</f>
        <v>1</v>
      </c>
      <c r="F4" s="14">
        <v>2006786.61</v>
      </c>
      <c r="G4" s="5">
        <f t="shared" ref="G4:G5" si="1">F4/$D4</f>
        <v>0.89906833713137135</v>
      </c>
      <c r="H4" s="16">
        <f>H15</f>
        <v>1090674.01</v>
      </c>
      <c r="I4" s="12">
        <f t="shared" ref="I4" si="2">H4/$D4</f>
        <v>0.48863713941319586</v>
      </c>
      <c r="J4" s="14">
        <f>J15</f>
        <v>1090674.01</v>
      </c>
      <c r="K4" s="5">
        <f t="shared" ref="K4" si="3">J4/$D4</f>
        <v>0.48863713941319586</v>
      </c>
      <c r="L4" s="14">
        <f>L15</f>
        <v>1141399.49</v>
      </c>
      <c r="M4" s="5">
        <f t="shared" ref="M4" si="4">L4/$D4</f>
        <v>0.51136286058680414</v>
      </c>
    </row>
    <row r="5" spans="1:14" x14ac:dyDescent="0.2">
      <c r="A5" s="3" t="s">
        <v>7</v>
      </c>
      <c r="B5" s="3" t="s">
        <v>6</v>
      </c>
      <c r="C5" s="40">
        <v>1</v>
      </c>
      <c r="D5" s="14">
        <f>D23</f>
        <v>62400</v>
      </c>
      <c r="E5" s="5">
        <f t="shared" si="0"/>
        <v>1</v>
      </c>
      <c r="F5" s="14">
        <v>56160</v>
      </c>
      <c r="G5" s="5">
        <f t="shared" si="1"/>
        <v>0.9</v>
      </c>
      <c r="H5" s="16">
        <f>H23</f>
        <v>31200</v>
      </c>
      <c r="I5" s="12">
        <f t="shared" ref="I5" si="5">H5/$D5</f>
        <v>0.5</v>
      </c>
      <c r="J5" s="14">
        <f>J23</f>
        <v>31200</v>
      </c>
      <c r="K5" s="5">
        <f t="shared" ref="K5" si="6">J5/$D5</f>
        <v>0.5</v>
      </c>
      <c r="L5" s="14">
        <f>L23</f>
        <v>31200</v>
      </c>
      <c r="M5" s="5">
        <f t="shared" ref="M5" si="7">L5/$D5</f>
        <v>0.5</v>
      </c>
    </row>
    <row r="6" spans="1:14" x14ac:dyDescent="0.2">
      <c r="A6" s="6" t="s">
        <v>8</v>
      </c>
      <c r="B6" s="6" t="s">
        <v>19</v>
      </c>
      <c r="C6" s="41">
        <v>1</v>
      </c>
      <c r="D6" s="15">
        <f>SUM(D4:D5)</f>
        <v>2294473.5</v>
      </c>
      <c r="E6" s="8">
        <f t="shared" si="0"/>
        <v>1</v>
      </c>
      <c r="F6" s="15">
        <f>SUM(F4:F5)</f>
        <v>2062946.61</v>
      </c>
      <c r="G6" s="8"/>
      <c r="H6" s="17">
        <f>SUM(H4:H5)</f>
        <v>1121874.01</v>
      </c>
      <c r="I6" s="18">
        <f t="shared" ref="I6" si="8">H6/$D6</f>
        <v>0.4889461612871101</v>
      </c>
      <c r="J6" s="15">
        <f>SUM(J4:J5)</f>
        <v>1121874.01</v>
      </c>
      <c r="K6" s="8">
        <f t="shared" ref="K6" si="9">J6/$D6</f>
        <v>0.4889461612871101</v>
      </c>
      <c r="L6" s="15">
        <f>SUM(L4:L5)</f>
        <v>1172599.49</v>
      </c>
      <c r="M6" s="8">
        <f t="shared" ref="M6" si="10">L6/$D6</f>
        <v>0.5110538387128899</v>
      </c>
    </row>
    <row r="8" spans="1:14" x14ac:dyDescent="0.2">
      <c r="A8" s="2" t="s">
        <v>68</v>
      </c>
    </row>
    <row r="9" spans="1:14" x14ac:dyDescent="0.2">
      <c r="A9" s="54" t="s">
        <v>10</v>
      </c>
      <c r="B9" s="54" t="s">
        <v>11</v>
      </c>
      <c r="C9" s="54" t="s">
        <v>14</v>
      </c>
      <c r="D9" s="54" t="s">
        <v>12</v>
      </c>
      <c r="E9" s="54"/>
      <c r="F9" s="55" t="s">
        <v>21</v>
      </c>
      <c r="G9" s="56"/>
      <c r="H9" s="53" t="s">
        <v>22</v>
      </c>
      <c r="I9" s="53"/>
      <c r="J9" s="53" t="s">
        <v>20</v>
      </c>
      <c r="K9" s="53"/>
      <c r="L9" s="53" t="s">
        <v>0</v>
      </c>
      <c r="M9" s="53"/>
    </row>
    <row r="10" spans="1:14" x14ac:dyDescent="0.2">
      <c r="A10" s="54"/>
      <c r="B10" s="54"/>
      <c r="C10" s="54"/>
      <c r="D10" s="19" t="s">
        <v>13</v>
      </c>
      <c r="E10" s="19" t="s">
        <v>1</v>
      </c>
      <c r="F10" s="19" t="s">
        <v>13</v>
      </c>
      <c r="G10" s="19" t="s">
        <v>1</v>
      </c>
      <c r="H10" s="19" t="s">
        <v>13</v>
      </c>
      <c r="I10" s="19" t="s">
        <v>1</v>
      </c>
      <c r="J10" s="19" t="s">
        <v>13</v>
      </c>
      <c r="K10" s="19" t="s">
        <v>1</v>
      </c>
      <c r="L10" s="19" t="s">
        <v>13</v>
      </c>
      <c r="M10" s="19" t="s">
        <v>1</v>
      </c>
    </row>
    <row r="11" spans="1:14" x14ac:dyDescent="0.2">
      <c r="A11" s="3" t="s">
        <v>4</v>
      </c>
      <c r="B11" s="3" t="s">
        <v>5</v>
      </c>
      <c r="C11" s="40">
        <v>1</v>
      </c>
      <c r="D11" s="4">
        <v>2086050</v>
      </c>
      <c r="E11" s="5">
        <f>D11/$D11</f>
        <v>1</v>
      </c>
      <c r="F11" s="4">
        <v>0</v>
      </c>
      <c r="G11" s="5">
        <f t="shared" ref="G11" si="11">F11/$D11</f>
        <v>0</v>
      </c>
      <c r="H11" s="20">
        <v>1019321.5</v>
      </c>
      <c r="I11" s="21">
        <f t="shared" ref="I11:K11" si="12">H11/$D11</f>
        <v>0.48863713717312623</v>
      </c>
      <c r="J11" s="4">
        <f>F11+H11</f>
        <v>1019321.5</v>
      </c>
      <c r="K11" s="5">
        <f t="shared" si="12"/>
        <v>0.48863713717312623</v>
      </c>
      <c r="L11" s="4">
        <f>D11-J11</f>
        <v>1066728.5</v>
      </c>
      <c r="M11" s="5">
        <f t="shared" ref="M11" si="13">L11/$D11</f>
        <v>0.51136286282687371</v>
      </c>
      <c r="N11" t="s">
        <v>70</v>
      </c>
    </row>
    <row r="12" spans="1:14" x14ac:dyDescent="0.2">
      <c r="A12" s="6" t="s">
        <v>7</v>
      </c>
      <c r="B12" s="6" t="s">
        <v>9</v>
      </c>
      <c r="C12" s="41">
        <v>1</v>
      </c>
      <c r="D12" s="7">
        <f>SUM(D11)</f>
        <v>2086050</v>
      </c>
      <c r="E12" s="8">
        <f>D12/$D12</f>
        <v>1</v>
      </c>
      <c r="F12" s="7">
        <f>SUM(F11)</f>
        <v>0</v>
      </c>
      <c r="G12" s="5">
        <f t="shared" ref="G12" si="14">F12/$D12</f>
        <v>0</v>
      </c>
      <c r="H12" s="22">
        <f>SUM(H11)</f>
        <v>1019321.5</v>
      </c>
      <c r="I12" s="21">
        <f t="shared" ref="I12:K12" si="15">H12/$D12</f>
        <v>0.48863713717312623</v>
      </c>
      <c r="J12" s="7">
        <f>SUM(J11)</f>
        <v>1019321.5</v>
      </c>
      <c r="K12" s="5">
        <f t="shared" si="15"/>
        <v>0.48863713717312623</v>
      </c>
      <c r="L12" s="4">
        <f>D12-J12</f>
        <v>1066728.5</v>
      </c>
      <c r="M12" s="5">
        <f t="shared" ref="M12" si="16">L12/$D12</f>
        <v>0.51136286282687371</v>
      </c>
    </row>
    <row r="13" spans="1:14" s="2" customFormat="1" x14ac:dyDescent="0.2">
      <c r="A13" s="3" t="s">
        <v>8</v>
      </c>
      <c r="B13" s="3" t="s">
        <v>15</v>
      </c>
      <c r="C13" s="40">
        <v>1</v>
      </c>
      <c r="D13" s="4">
        <f>ROUND(D12*7%,2)</f>
        <v>146023.5</v>
      </c>
      <c r="E13" s="5">
        <f>D13/$D13</f>
        <v>1</v>
      </c>
      <c r="F13" s="4">
        <f>ROUND(F12*7%,2)</f>
        <v>0</v>
      </c>
      <c r="G13" s="5">
        <f t="shared" ref="G13" si="17">F13/$D13</f>
        <v>0</v>
      </c>
      <c r="H13" s="20">
        <f>ROUND(H12*7%,2)</f>
        <v>71352.509999999995</v>
      </c>
      <c r="I13" s="21">
        <f t="shared" ref="I13:K13" si="18">H13/$D13</f>
        <v>0.48863717141419016</v>
      </c>
      <c r="J13" s="4">
        <f>ROUND(J12*7%,2)</f>
        <v>71352.509999999995</v>
      </c>
      <c r="K13" s="5">
        <f t="shared" si="18"/>
        <v>0.48863717141419016</v>
      </c>
      <c r="L13" s="4">
        <f>D13-J13</f>
        <v>74670.990000000005</v>
      </c>
      <c r="M13" s="5">
        <f t="shared" ref="M13" si="19">L13/$D13</f>
        <v>0.51136282858580984</v>
      </c>
    </row>
    <row r="14" spans="1:14" x14ac:dyDescent="0.2">
      <c r="A14" s="9" t="s">
        <v>17</v>
      </c>
      <c r="B14" s="9" t="s">
        <v>18</v>
      </c>
      <c r="C14" s="42">
        <v>0</v>
      </c>
      <c r="D14" s="10"/>
      <c r="E14" s="11"/>
      <c r="F14" s="10"/>
      <c r="G14" s="9"/>
      <c r="H14" s="10"/>
      <c r="I14" s="9"/>
      <c r="J14" s="10"/>
      <c r="K14" s="9"/>
      <c r="L14" s="10"/>
      <c r="M14" s="9"/>
    </row>
    <row r="15" spans="1:14" s="2" customFormat="1" x14ac:dyDescent="0.2">
      <c r="A15" s="6" t="s">
        <v>16</v>
      </c>
      <c r="B15" s="6" t="s">
        <v>19</v>
      </c>
      <c r="C15" s="41">
        <v>1</v>
      </c>
      <c r="D15" s="7">
        <f>SUM(D12:D14)</f>
        <v>2232073.5</v>
      </c>
      <c r="E15" s="8">
        <f>D15/$D15</f>
        <v>1</v>
      </c>
      <c r="F15" s="7">
        <f>SUM(F12:F13)-F14</f>
        <v>0</v>
      </c>
      <c r="G15" s="5">
        <f t="shared" ref="G15" si="20">F15/$D15</f>
        <v>0</v>
      </c>
      <c r="H15" s="22">
        <f>SUM(H12:H13)-H14</f>
        <v>1090674.01</v>
      </c>
      <c r="I15" s="21">
        <f>H15/$D15</f>
        <v>0.48863713941319586</v>
      </c>
      <c r="J15" s="7">
        <f>SUM(J12:J13)-J14</f>
        <v>1090674.01</v>
      </c>
      <c r="K15" s="5">
        <f>J15/$D15</f>
        <v>0.48863713941319586</v>
      </c>
      <c r="L15" s="4">
        <f>D15-J15</f>
        <v>1141399.49</v>
      </c>
      <c r="M15" s="5">
        <f>L15/$D15</f>
        <v>0.51136286058680414</v>
      </c>
    </row>
    <row r="16" spans="1:14" x14ac:dyDescent="0.2">
      <c r="A16" s="2" t="s">
        <v>69</v>
      </c>
      <c r="D16" s="1"/>
    </row>
    <row r="17" spans="1:13" x14ac:dyDescent="0.2">
      <c r="A17" s="54" t="s">
        <v>10</v>
      </c>
      <c r="B17" s="54" t="s">
        <v>11</v>
      </c>
      <c r="C17" s="54" t="s">
        <v>14</v>
      </c>
      <c r="D17" s="54" t="s">
        <v>12</v>
      </c>
      <c r="E17" s="54"/>
      <c r="F17" s="55" t="s">
        <v>21</v>
      </c>
      <c r="G17" s="56"/>
      <c r="H17" s="53" t="s">
        <v>22</v>
      </c>
      <c r="I17" s="53"/>
      <c r="J17" s="53" t="s">
        <v>20</v>
      </c>
      <c r="K17" s="53"/>
      <c r="L17" s="53" t="s">
        <v>0</v>
      </c>
      <c r="M17" s="53"/>
    </row>
    <row r="18" spans="1:13" x14ac:dyDescent="0.2">
      <c r="A18" s="54"/>
      <c r="B18" s="54"/>
      <c r="C18" s="54"/>
      <c r="D18" s="19" t="s">
        <v>13</v>
      </c>
      <c r="E18" s="19" t="s">
        <v>1</v>
      </c>
      <c r="F18" s="19" t="s">
        <v>13</v>
      </c>
      <c r="G18" s="19" t="s">
        <v>1</v>
      </c>
      <c r="H18" s="19" t="s">
        <v>13</v>
      </c>
      <c r="I18" s="19" t="s">
        <v>1</v>
      </c>
      <c r="J18" s="19" t="s">
        <v>13</v>
      </c>
      <c r="K18" s="19" t="s">
        <v>1</v>
      </c>
      <c r="L18" s="19" t="s">
        <v>13</v>
      </c>
      <c r="M18" s="19" t="s">
        <v>1</v>
      </c>
    </row>
    <row r="19" spans="1:13" x14ac:dyDescent="0.2">
      <c r="A19" s="3" t="s">
        <v>4</v>
      </c>
      <c r="B19" s="3" t="s">
        <v>6</v>
      </c>
      <c r="C19" s="40">
        <v>1</v>
      </c>
      <c r="D19" s="4">
        <v>60000</v>
      </c>
      <c r="E19" s="5">
        <f>D19/$D19</f>
        <v>1</v>
      </c>
      <c r="F19" s="4">
        <v>0</v>
      </c>
      <c r="G19" s="5">
        <f t="shared" ref="G19:G20" si="21">F19/$D19</f>
        <v>0</v>
      </c>
      <c r="H19" s="20">
        <v>30000</v>
      </c>
      <c r="I19" s="21">
        <f t="shared" ref="I19" si="22">H19/$D19</f>
        <v>0.5</v>
      </c>
      <c r="J19" s="4">
        <f>F19+H19</f>
        <v>30000</v>
      </c>
      <c r="K19" s="5">
        <f t="shared" ref="K19:M19" si="23">J19/$D19</f>
        <v>0.5</v>
      </c>
      <c r="L19" s="4">
        <f>D19-J19</f>
        <v>30000</v>
      </c>
      <c r="M19" s="5">
        <f t="shared" si="23"/>
        <v>0.5</v>
      </c>
    </row>
    <row r="20" spans="1:13" x14ac:dyDescent="0.2">
      <c r="A20" s="6" t="s">
        <v>7</v>
      </c>
      <c r="B20" s="6" t="s">
        <v>9</v>
      </c>
      <c r="C20" s="41">
        <v>1</v>
      </c>
      <c r="D20" s="7">
        <f>SUM(D19)</f>
        <v>60000</v>
      </c>
      <c r="E20" s="8">
        <f>D20/$D20</f>
        <v>1</v>
      </c>
      <c r="F20" s="7">
        <f>SUM(F19)</f>
        <v>0</v>
      </c>
      <c r="G20" s="5">
        <f t="shared" si="21"/>
        <v>0</v>
      </c>
      <c r="H20" s="22">
        <f>SUM(H19)</f>
        <v>30000</v>
      </c>
      <c r="I20" s="21">
        <f t="shared" ref="I20" si="24">H20/$D20</f>
        <v>0.5</v>
      </c>
      <c r="J20" s="7">
        <f>SUM(J19)</f>
        <v>30000</v>
      </c>
      <c r="K20" s="5">
        <f t="shared" ref="K20:M20" si="25">J20/$D20</f>
        <v>0.5</v>
      </c>
      <c r="L20" s="4">
        <f>D20-J20</f>
        <v>30000</v>
      </c>
      <c r="M20" s="5">
        <f t="shared" si="25"/>
        <v>0.5</v>
      </c>
    </row>
    <row r="21" spans="1:13" x14ac:dyDescent="0.2">
      <c r="A21" s="3" t="s">
        <v>8</v>
      </c>
      <c r="B21" s="3" t="s">
        <v>15</v>
      </c>
      <c r="C21" s="40">
        <v>1</v>
      </c>
      <c r="D21" s="4">
        <f>ROUND(D20*7%,2)</f>
        <v>4200</v>
      </c>
      <c r="E21" s="5">
        <f>D21/$D21</f>
        <v>1</v>
      </c>
      <c r="F21" s="4">
        <f>ROUND(F20*7%,2)</f>
        <v>0</v>
      </c>
      <c r="G21" s="5">
        <f t="shared" ref="G21" si="26">F21/$D21</f>
        <v>0</v>
      </c>
      <c r="H21" s="20">
        <f>ROUND(H20*7%,2)</f>
        <v>2100</v>
      </c>
      <c r="I21" s="21">
        <f t="shared" ref="I21:I22" si="27">H21/$D21</f>
        <v>0.5</v>
      </c>
      <c r="J21" s="4">
        <f>ROUND(J20*7%,2)</f>
        <v>2100</v>
      </c>
      <c r="K21" s="5">
        <f t="shared" ref="K21:M21" si="28">J21/$D21</f>
        <v>0.5</v>
      </c>
      <c r="L21" s="4">
        <f>D21-J21</f>
        <v>2100</v>
      </c>
      <c r="M21" s="5">
        <f t="shared" si="28"/>
        <v>0.5</v>
      </c>
    </row>
    <row r="22" spans="1:13" x14ac:dyDescent="0.2">
      <c r="A22" s="3" t="s">
        <v>17</v>
      </c>
      <c r="B22" s="3" t="s">
        <v>18</v>
      </c>
      <c r="C22" s="40">
        <v>1</v>
      </c>
      <c r="D22" s="4">
        <f>ROUND(D20*3%,2)</f>
        <v>1800</v>
      </c>
      <c r="E22" s="5">
        <f>D22/$D22</f>
        <v>1</v>
      </c>
      <c r="F22" s="4">
        <f>ROUND(F20*3%,2)</f>
        <v>0</v>
      </c>
      <c r="G22" s="5">
        <f t="shared" ref="G22" si="29">F22/$D22</f>
        <v>0</v>
      </c>
      <c r="H22" s="20">
        <f>ROUND(H20*3%,2)</f>
        <v>900</v>
      </c>
      <c r="I22" s="21">
        <f t="shared" si="27"/>
        <v>0.5</v>
      </c>
      <c r="J22" s="4">
        <f>ROUND(J20*3%,2)</f>
        <v>900</v>
      </c>
      <c r="K22" s="5">
        <f t="shared" ref="K22:M22" si="30">J22/$D22</f>
        <v>0.5</v>
      </c>
      <c r="L22" s="4">
        <f>D22-J22</f>
        <v>900</v>
      </c>
      <c r="M22" s="5">
        <f t="shared" si="30"/>
        <v>0.5</v>
      </c>
    </row>
    <row r="23" spans="1:13" x14ac:dyDescent="0.2">
      <c r="A23" s="6" t="s">
        <v>16</v>
      </c>
      <c r="B23" s="6" t="s">
        <v>19</v>
      </c>
      <c r="C23" s="41">
        <v>1</v>
      </c>
      <c r="D23" s="7">
        <f>SUM(D20:D21)-D22</f>
        <v>62400</v>
      </c>
      <c r="E23" s="8">
        <f>D23/$D23</f>
        <v>1</v>
      </c>
      <c r="F23" s="7">
        <f>SUM(F20:F21)-F22</f>
        <v>0</v>
      </c>
      <c r="G23" s="5">
        <f t="shared" ref="G23" si="31">F23/$D23</f>
        <v>0</v>
      </c>
      <c r="H23" s="22">
        <f>SUM(H20:H21)-H22</f>
        <v>31200</v>
      </c>
      <c r="I23" s="21">
        <f>H23/$D23</f>
        <v>0.5</v>
      </c>
      <c r="J23" s="7">
        <f>SUM(J20:J21)-J22</f>
        <v>31200</v>
      </c>
      <c r="K23" s="5">
        <f>J23/$D23</f>
        <v>0.5</v>
      </c>
      <c r="L23" s="4">
        <f>D23-J23</f>
        <v>31200</v>
      </c>
      <c r="M23" s="5">
        <f>L23/$D23</f>
        <v>0.5</v>
      </c>
    </row>
    <row r="24" spans="1:13" x14ac:dyDescent="0.2">
      <c r="D24" s="1"/>
    </row>
    <row r="25" spans="1:13" x14ac:dyDescent="0.2">
      <c r="A25" s="2" t="s">
        <v>66</v>
      </c>
    </row>
    <row r="26" spans="1:13" x14ac:dyDescent="0.2">
      <c r="A26" s="57" t="s">
        <v>10</v>
      </c>
      <c r="B26" s="57" t="s">
        <v>11</v>
      </c>
      <c r="C26" s="57" t="s">
        <v>14</v>
      </c>
      <c r="D26" s="57" t="s">
        <v>12</v>
      </c>
      <c r="E26" s="57"/>
      <c r="F26" s="59" t="s">
        <v>21</v>
      </c>
      <c r="G26" s="60"/>
      <c r="H26" s="58" t="s">
        <v>22</v>
      </c>
      <c r="I26" s="58"/>
      <c r="J26" s="58" t="s">
        <v>20</v>
      </c>
      <c r="K26" s="58"/>
      <c r="L26" s="58" t="s">
        <v>0</v>
      </c>
      <c r="M26" s="58"/>
    </row>
    <row r="27" spans="1:13" x14ac:dyDescent="0.2">
      <c r="A27" s="57"/>
      <c r="B27" s="57"/>
      <c r="C27" s="57"/>
      <c r="D27" s="13" t="s">
        <v>13</v>
      </c>
      <c r="E27" s="13" t="s">
        <v>1</v>
      </c>
      <c r="F27" s="13" t="s">
        <v>13</v>
      </c>
      <c r="G27" s="13" t="s">
        <v>1</v>
      </c>
      <c r="H27" s="13" t="s">
        <v>13</v>
      </c>
      <c r="I27" s="13" t="s">
        <v>1</v>
      </c>
      <c r="J27" s="13" t="s">
        <v>13</v>
      </c>
      <c r="K27" s="13" t="s">
        <v>1</v>
      </c>
      <c r="L27" s="13" t="s">
        <v>13</v>
      </c>
      <c r="M27" s="13" t="s">
        <v>1</v>
      </c>
    </row>
    <row r="28" spans="1:13" x14ac:dyDescent="0.2">
      <c r="A28" s="3" t="s">
        <v>4</v>
      </c>
      <c r="B28" s="3" t="s">
        <v>5</v>
      </c>
      <c r="C28" s="40">
        <v>1</v>
      </c>
      <c r="D28" s="4">
        <v>2086050</v>
      </c>
      <c r="E28" s="5">
        <f>D28/$D28</f>
        <v>1</v>
      </c>
      <c r="F28" s="4">
        <f>J11</f>
        <v>1019321.5</v>
      </c>
      <c r="G28" s="5">
        <f t="shared" ref="G28:G30" si="32">F28/$D28</f>
        <v>0.48863713717312623</v>
      </c>
      <c r="H28" s="62">
        <v>856180</v>
      </c>
      <c r="I28" s="12">
        <f t="shared" ref="I28:I30" si="33">H28/$D28</f>
        <v>0.41043119771817549</v>
      </c>
      <c r="J28" s="4">
        <f>F28+H28</f>
        <v>1875501.5</v>
      </c>
      <c r="K28" s="5">
        <f t="shared" ref="K28:K30" si="34">J28/$D28</f>
        <v>0.89906833489130178</v>
      </c>
      <c r="L28" s="4">
        <f>D28-J28</f>
        <v>210548.5</v>
      </c>
      <c r="M28" s="5">
        <f t="shared" ref="M28:M30" si="35">L28/$D28</f>
        <v>0.10093166510869826</v>
      </c>
    </row>
    <row r="29" spans="1:13" x14ac:dyDescent="0.2">
      <c r="A29" s="6" t="s">
        <v>7</v>
      </c>
      <c r="B29" s="6" t="s">
        <v>9</v>
      </c>
      <c r="C29" s="41">
        <v>1</v>
      </c>
      <c r="D29" s="7">
        <f>SUM(D28)</f>
        <v>2086050</v>
      </c>
      <c r="E29" s="8">
        <f>D29/$D29</f>
        <v>1</v>
      </c>
      <c r="F29" s="7">
        <f>SUM(F28)</f>
        <v>1019321.5</v>
      </c>
      <c r="G29" s="5">
        <f t="shared" si="32"/>
        <v>0.48863713717312623</v>
      </c>
      <c r="H29" s="63">
        <f>SUM(H28)</f>
        <v>856180</v>
      </c>
      <c r="I29" s="12">
        <f t="shared" si="33"/>
        <v>0.41043119771817549</v>
      </c>
      <c r="J29" s="7">
        <f>SUM(J28)</f>
        <v>1875501.5</v>
      </c>
      <c r="K29" s="5">
        <f t="shared" si="34"/>
        <v>0.89906833489130178</v>
      </c>
      <c r="L29" s="4">
        <f>D29-J29</f>
        <v>210548.5</v>
      </c>
      <c r="M29" s="5">
        <f t="shared" si="35"/>
        <v>0.10093166510869826</v>
      </c>
    </row>
    <row r="30" spans="1:13" x14ac:dyDescent="0.2">
      <c r="A30" s="3" t="s">
        <v>8</v>
      </c>
      <c r="B30" s="3" t="s">
        <v>15</v>
      </c>
      <c r="C30" s="40">
        <v>1</v>
      </c>
      <c r="D30" s="4">
        <f>ROUND(D29*7%,2)</f>
        <v>146023.5</v>
      </c>
      <c r="E30" s="5">
        <f>D30/$D30</f>
        <v>1</v>
      </c>
      <c r="F30" s="4">
        <f>ROUND(F29*7%,2)</f>
        <v>71352.509999999995</v>
      </c>
      <c r="G30" s="5">
        <f t="shared" si="32"/>
        <v>0.48863717141419016</v>
      </c>
      <c r="H30" s="62">
        <f>ROUND(H29*7%,2)</f>
        <v>59932.6</v>
      </c>
      <c r="I30" s="12">
        <f t="shared" si="33"/>
        <v>0.41043119771817549</v>
      </c>
      <c r="J30" s="4">
        <f>ROUND(J29*7%,2)</f>
        <v>131285.10999999999</v>
      </c>
      <c r="K30" s="5">
        <f t="shared" si="34"/>
        <v>0.89906836913236554</v>
      </c>
      <c r="L30" s="4">
        <f>D30-J30</f>
        <v>14738.390000000014</v>
      </c>
      <c r="M30" s="5">
        <f t="shared" si="35"/>
        <v>0.10093163086763442</v>
      </c>
    </row>
    <row r="31" spans="1:13" x14ac:dyDescent="0.2">
      <c r="A31" s="9" t="s">
        <v>17</v>
      </c>
      <c r="B31" s="9" t="s">
        <v>18</v>
      </c>
      <c r="C31" s="42">
        <v>0</v>
      </c>
      <c r="D31" s="10"/>
      <c r="E31" s="11"/>
      <c r="F31" s="10"/>
      <c r="G31" s="9"/>
      <c r="H31" s="10"/>
      <c r="I31" s="9"/>
      <c r="J31" s="10"/>
      <c r="K31" s="9"/>
      <c r="L31" s="10"/>
      <c r="M31" s="9"/>
    </row>
    <row r="32" spans="1:13" x14ac:dyDescent="0.2">
      <c r="A32" s="6" t="s">
        <v>16</v>
      </c>
      <c r="B32" s="6" t="s">
        <v>19</v>
      </c>
      <c r="C32" s="41">
        <v>1</v>
      </c>
      <c r="D32" s="7">
        <f>SUM(D29:D31)</f>
        <v>2232073.5</v>
      </c>
      <c r="E32" s="8">
        <f>D32/$D32</f>
        <v>1</v>
      </c>
      <c r="F32" s="7">
        <f>SUM(F29:F30)-F31</f>
        <v>1090674.01</v>
      </c>
      <c r="G32" s="5">
        <f t="shared" ref="G32" si="36">F32/$D32</f>
        <v>0.48863713941319586</v>
      </c>
      <c r="H32" s="63">
        <f>SUM(H29:H30)-H31</f>
        <v>916112.6</v>
      </c>
      <c r="I32" s="12">
        <f>H32/$D32</f>
        <v>0.41043119771817549</v>
      </c>
      <c r="J32" s="7">
        <f>SUM(J29:J30)-J31</f>
        <v>2006786.6099999999</v>
      </c>
      <c r="K32" s="5">
        <f>J32/$D32</f>
        <v>0.89906833713137124</v>
      </c>
      <c r="L32" s="4">
        <f>D32-J32</f>
        <v>225286.89000000013</v>
      </c>
      <c r="M32" s="5">
        <f>L32/$D32</f>
        <v>0.10093166286862872</v>
      </c>
    </row>
    <row r="33" spans="1:14" x14ac:dyDescent="0.2">
      <c r="A33" s="2" t="s">
        <v>67</v>
      </c>
      <c r="D33" s="1"/>
    </row>
    <row r="34" spans="1:14" x14ac:dyDescent="0.2">
      <c r="A34" s="57" t="s">
        <v>10</v>
      </c>
      <c r="B34" s="57" t="s">
        <v>11</v>
      </c>
      <c r="C34" s="57" t="s">
        <v>14</v>
      </c>
      <c r="D34" s="57" t="s">
        <v>12</v>
      </c>
      <c r="E34" s="57"/>
      <c r="F34" s="59" t="s">
        <v>21</v>
      </c>
      <c r="G34" s="60"/>
      <c r="H34" s="58" t="s">
        <v>22</v>
      </c>
      <c r="I34" s="58"/>
      <c r="J34" s="58" t="s">
        <v>20</v>
      </c>
      <c r="K34" s="58"/>
      <c r="L34" s="58" t="s">
        <v>0</v>
      </c>
      <c r="M34" s="58"/>
    </row>
    <row r="35" spans="1:14" x14ac:dyDescent="0.2">
      <c r="A35" s="57"/>
      <c r="B35" s="57"/>
      <c r="C35" s="57"/>
      <c r="D35" s="13" t="s">
        <v>13</v>
      </c>
      <c r="E35" s="13" t="s">
        <v>1</v>
      </c>
      <c r="F35" s="13" t="s">
        <v>13</v>
      </c>
      <c r="G35" s="13" t="s">
        <v>1</v>
      </c>
      <c r="H35" s="13" t="s">
        <v>13</v>
      </c>
      <c r="I35" s="13" t="s">
        <v>1</v>
      </c>
      <c r="J35" s="13" t="s">
        <v>13</v>
      </c>
      <c r="K35" s="13" t="s">
        <v>1</v>
      </c>
      <c r="L35" s="13" t="s">
        <v>13</v>
      </c>
      <c r="M35" s="13" t="s">
        <v>1</v>
      </c>
    </row>
    <row r="36" spans="1:14" x14ac:dyDescent="0.2">
      <c r="A36" s="3" t="s">
        <v>4</v>
      </c>
      <c r="B36" s="3" t="s">
        <v>6</v>
      </c>
      <c r="C36" s="40">
        <v>1</v>
      </c>
      <c r="D36" s="4">
        <v>60000</v>
      </c>
      <c r="E36" s="5">
        <f>D36/$D36</f>
        <v>1</v>
      </c>
      <c r="F36" s="4">
        <f>J19</f>
        <v>30000</v>
      </c>
      <c r="G36" s="5">
        <f t="shared" ref="G36:G40" si="37">F36/$D36</f>
        <v>0.5</v>
      </c>
      <c r="H36" s="62">
        <v>24000</v>
      </c>
      <c r="I36" s="12">
        <f t="shared" ref="I36:I39" si="38">H36/$D36</f>
        <v>0.4</v>
      </c>
      <c r="J36" s="4">
        <f>F36+H36</f>
        <v>54000</v>
      </c>
      <c r="K36" s="5">
        <f t="shared" ref="K36:K39" si="39">J36/$D36</f>
        <v>0.9</v>
      </c>
      <c r="L36" s="4">
        <f>D36-J36</f>
        <v>6000</v>
      </c>
      <c r="M36" s="5">
        <f t="shared" ref="M36:M39" si="40">L36/$D36</f>
        <v>0.1</v>
      </c>
    </row>
    <row r="37" spans="1:14" x14ac:dyDescent="0.2">
      <c r="A37" s="6" t="s">
        <v>7</v>
      </c>
      <c r="B37" s="6" t="s">
        <v>9</v>
      </c>
      <c r="C37" s="41">
        <v>1</v>
      </c>
      <c r="D37" s="7">
        <f>SUM(D36)</f>
        <v>60000</v>
      </c>
      <c r="E37" s="8">
        <f>D37/$D37</f>
        <v>1</v>
      </c>
      <c r="F37" s="7">
        <f>F36</f>
        <v>30000</v>
      </c>
      <c r="G37" s="5">
        <f t="shared" si="37"/>
        <v>0.5</v>
      </c>
      <c r="H37" s="63">
        <f>SUM(H36)</f>
        <v>24000</v>
      </c>
      <c r="I37" s="12">
        <f t="shared" si="38"/>
        <v>0.4</v>
      </c>
      <c r="J37" s="7">
        <f>SUM(J36)</f>
        <v>54000</v>
      </c>
      <c r="K37" s="5">
        <f t="shared" si="39"/>
        <v>0.9</v>
      </c>
      <c r="L37" s="4">
        <f>D37-J37</f>
        <v>6000</v>
      </c>
      <c r="M37" s="5">
        <f t="shared" si="40"/>
        <v>0.1</v>
      </c>
    </row>
    <row r="38" spans="1:14" x14ac:dyDescent="0.2">
      <c r="A38" s="3" t="s">
        <v>8</v>
      </c>
      <c r="B38" s="3" t="s">
        <v>15</v>
      </c>
      <c r="C38" s="40">
        <v>1</v>
      </c>
      <c r="D38" s="4">
        <f>ROUND(D37*7%,2)</f>
        <v>4200</v>
      </c>
      <c r="E38" s="5">
        <f>D38/$D38</f>
        <v>1</v>
      </c>
      <c r="F38" s="4">
        <f>ROUND(F37*7%,2)</f>
        <v>2100</v>
      </c>
      <c r="G38" s="5">
        <f t="shared" si="37"/>
        <v>0.5</v>
      </c>
      <c r="H38" s="62">
        <f>ROUND(H37*7%,2)</f>
        <v>1680</v>
      </c>
      <c r="I38" s="12">
        <f t="shared" si="38"/>
        <v>0.4</v>
      </c>
      <c r="J38" s="4">
        <f>ROUND(J37*7%,2)</f>
        <v>3780</v>
      </c>
      <c r="K38" s="5">
        <f t="shared" si="39"/>
        <v>0.9</v>
      </c>
      <c r="L38" s="4">
        <f>D38-J38</f>
        <v>420</v>
      </c>
      <c r="M38" s="5">
        <f t="shared" si="40"/>
        <v>0.1</v>
      </c>
    </row>
    <row r="39" spans="1:14" x14ac:dyDescent="0.2">
      <c r="A39" s="3" t="s">
        <v>17</v>
      </c>
      <c r="B39" s="3" t="s">
        <v>18</v>
      </c>
      <c r="C39" s="40">
        <v>1</v>
      </c>
      <c r="D39" s="4">
        <f>ROUND(D37*3%,2)</f>
        <v>1800</v>
      </c>
      <c r="E39" s="5">
        <f>D39/$D39</f>
        <v>1</v>
      </c>
      <c r="F39" s="4">
        <f>ROUND(F37*3%,2)</f>
        <v>900</v>
      </c>
      <c r="G39" s="5">
        <f t="shared" si="37"/>
        <v>0.5</v>
      </c>
      <c r="H39" s="62">
        <f>ROUND(H37*3%,2)</f>
        <v>720</v>
      </c>
      <c r="I39" s="12">
        <f t="shared" si="38"/>
        <v>0.4</v>
      </c>
      <c r="J39" s="4">
        <f>ROUND(J37*3%,2)</f>
        <v>1620</v>
      </c>
      <c r="K39" s="5">
        <f t="shared" si="39"/>
        <v>0.9</v>
      </c>
      <c r="L39" s="4">
        <f>D39-J39</f>
        <v>180</v>
      </c>
      <c r="M39" s="5">
        <f t="shared" si="40"/>
        <v>0.1</v>
      </c>
    </row>
    <row r="40" spans="1:14" x14ac:dyDescent="0.2">
      <c r="A40" s="6" t="s">
        <v>16</v>
      </c>
      <c r="B40" s="6" t="s">
        <v>19</v>
      </c>
      <c r="C40" s="41">
        <v>1</v>
      </c>
      <c r="D40" s="7">
        <f>SUM(D37:D38)-D39</f>
        <v>62400</v>
      </c>
      <c r="E40" s="8">
        <f>D40/$D40</f>
        <v>1</v>
      </c>
      <c r="F40" s="7">
        <f>SUM(F37:F38)-F39</f>
        <v>31200</v>
      </c>
      <c r="G40" s="5">
        <f t="shared" si="37"/>
        <v>0.5</v>
      </c>
      <c r="H40" s="63">
        <f>SUM(H37:H38)-H39</f>
        <v>24960</v>
      </c>
      <c r="I40" s="12">
        <f>H40/$D40</f>
        <v>0.4</v>
      </c>
      <c r="J40" s="7">
        <f>SUM(J37:J38)-J39</f>
        <v>56160</v>
      </c>
      <c r="K40" s="5">
        <f>J40/$D40</f>
        <v>0.9</v>
      </c>
      <c r="L40" s="4">
        <f>D40-J40</f>
        <v>6240</v>
      </c>
      <c r="M40" s="5">
        <f>L40/$D40</f>
        <v>0.1</v>
      </c>
    </row>
    <row r="42" spans="1:14" x14ac:dyDescent="0.2">
      <c r="A42" s="2" t="s">
        <v>74</v>
      </c>
    </row>
    <row r="43" spans="1:14" x14ac:dyDescent="0.2">
      <c r="A43" s="54" t="s">
        <v>10</v>
      </c>
      <c r="B43" s="54" t="s">
        <v>11</v>
      </c>
      <c r="C43" s="54" t="s">
        <v>14</v>
      </c>
      <c r="D43" s="54" t="s">
        <v>12</v>
      </c>
      <c r="E43" s="54"/>
      <c r="F43" s="55" t="s">
        <v>21</v>
      </c>
      <c r="G43" s="56"/>
      <c r="H43" s="53" t="s">
        <v>22</v>
      </c>
      <c r="I43" s="53"/>
      <c r="J43" s="53" t="s">
        <v>20</v>
      </c>
      <c r="K43" s="53"/>
      <c r="L43" s="53" t="s">
        <v>0</v>
      </c>
      <c r="M43" s="53"/>
    </row>
    <row r="44" spans="1:14" x14ac:dyDescent="0.2">
      <c r="A44" s="54"/>
      <c r="B44" s="54"/>
      <c r="C44" s="54"/>
      <c r="D44" s="19" t="s">
        <v>13</v>
      </c>
      <c r="E44" s="19" t="s">
        <v>1</v>
      </c>
      <c r="F44" s="19" t="s">
        <v>13</v>
      </c>
      <c r="G44" s="19" t="s">
        <v>1</v>
      </c>
      <c r="H44" s="19" t="s">
        <v>13</v>
      </c>
      <c r="I44" s="19" t="s">
        <v>1</v>
      </c>
      <c r="J44" s="19" t="s">
        <v>13</v>
      </c>
      <c r="K44" s="19" t="s">
        <v>1</v>
      </c>
      <c r="L44" s="19" t="s">
        <v>13</v>
      </c>
      <c r="M44" s="19" t="s">
        <v>1</v>
      </c>
    </row>
    <row r="45" spans="1:14" x14ac:dyDescent="0.2">
      <c r="A45" s="3" t="s">
        <v>4</v>
      </c>
      <c r="B45" s="3" t="s">
        <v>5</v>
      </c>
      <c r="C45" s="40">
        <v>1</v>
      </c>
      <c r="D45" s="65">
        <v>2086050</v>
      </c>
      <c r="E45" s="5">
        <f>D45/$D45</f>
        <v>1</v>
      </c>
      <c r="F45" s="4">
        <f>J28</f>
        <v>1875501.5</v>
      </c>
      <c r="G45" s="5">
        <f t="shared" ref="G45:G47" si="41">F45/$D45</f>
        <v>0.89906833489130178</v>
      </c>
      <c r="H45" s="20">
        <v>210548.5</v>
      </c>
      <c r="I45" s="21">
        <f t="shared" ref="I45:I47" si="42">H45/$D45</f>
        <v>0.10093166510869826</v>
      </c>
      <c r="J45" s="4">
        <f>F45+H45</f>
        <v>2086050</v>
      </c>
      <c r="K45" s="5">
        <f t="shared" ref="K45:K47" si="43">J45/$D45</f>
        <v>1</v>
      </c>
      <c r="L45" s="4">
        <f>D45-J45</f>
        <v>0</v>
      </c>
      <c r="M45" s="5">
        <f t="shared" ref="M45:M47" si="44">L45/$D45</f>
        <v>0</v>
      </c>
      <c r="N45" s="64" t="s">
        <v>72</v>
      </c>
    </row>
    <row r="46" spans="1:14" x14ac:dyDescent="0.2">
      <c r="A46" s="6" t="s">
        <v>7</v>
      </c>
      <c r="B46" s="6" t="s">
        <v>9</v>
      </c>
      <c r="C46" s="41">
        <v>1</v>
      </c>
      <c r="D46" s="7">
        <f>SUM(D45)</f>
        <v>2086050</v>
      </c>
      <c r="E46" s="8">
        <f>D46/$D46</f>
        <v>1</v>
      </c>
      <c r="F46" s="7">
        <f>SUM(F45)</f>
        <v>1875501.5</v>
      </c>
      <c r="G46" s="5">
        <f t="shared" si="41"/>
        <v>0.89906833489130178</v>
      </c>
      <c r="H46" s="22">
        <f>SUM(H45)</f>
        <v>210548.5</v>
      </c>
      <c r="I46" s="21">
        <f t="shared" si="42"/>
        <v>0.10093166510869826</v>
      </c>
      <c r="J46" s="7">
        <f>SUM(J45)</f>
        <v>2086050</v>
      </c>
      <c r="K46" s="5">
        <f t="shared" si="43"/>
        <v>1</v>
      </c>
      <c r="L46" s="4">
        <f>D46-J46</f>
        <v>0</v>
      </c>
      <c r="M46" s="5">
        <f t="shared" si="44"/>
        <v>0</v>
      </c>
      <c r="N46" s="64"/>
    </row>
    <row r="47" spans="1:14" x14ac:dyDescent="0.2">
      <c r="A47" s="3" t="s">
        <v>8</v>
      </c>
      <c r="B47" s="3" t="s">
        <v>15</v>
      </c>
      <c r="C47" s="40">
        <v>1</v>
      </c>
      <c r="D47" s="4">
        <f>ROUND(D46*7%,2)</f>
        <v>146023.5</v>
      </c>
      <c r="E47" s="5">
        <f>D47/$D47</f>
        <v>1</v>
      </c>
      <c r="F47" s="4">
        <f>ROUND(F46*7%,2)</f>
        <v>131285.10999999999</v>
      </c>
      <c r="G47" s="5">
        <f t="shared" si="41"/>
        <v>0.89906836913236554</v>
      </c>
      <c r="H47" s="20">
        <f>ROUND(H46*7%,2)</f>
        <v>14738.4</v>
      </c>
      <c r="I47" s="21">
        <f t="shared" si="42"/>
        <v>0.10093169934976219</v>
      </c>
      <c r="J47" s="4">
        <f>ROUND(J46*7%,2)</f>
        <v>146023.5</v>
      </c>
      <c r="K47" s="5">
        <f t="shared" si="43"/>
        <v>1</v>
      </c>
      <c r="L47" s="4">
        <f>D47-J47</f>
        <v>0</v>
      </c>
      <c r="M47" s="5">
        <f t="shared" si="44"/>
        <v>0</v>
      </c>
      <c r="N47" s="64"/>
    </row>
    <row r="48" spans="1:14" x14ac:dyDescent="0.2">
      <c r="A48" s="9" t="s">
        <v>17</v>
      </c>
      <c r="B48" s="9" t="s">
        <v>18</v>
      </c>
      <c r="C48" s="42">
        <v>0</v>
      </c>
      <c r="D48" s="10"/>
      <c r="E48" s="11"/>
      <c r="F48" s="10"/>
      <c r="G48" s="9"/>
      <c r="H48" s="10"/>
      <c r="I48" s="9"/>
      <c r="J48" s="10"/>
      <c r="K48" s="9"/>
      <c r="L48" s="10"/>
      <c r="M48" s="9"/>
      <c r="N48" s="64"/>
    </row>
    <row r="49" spans="1:14" x14ac:dyDescent="0.2">
      <c r="A49" s="6" t="s">
        <v>16</v>
      </c>
      <c r="B49" s="6" t="s">
        <v>19</v>
      </c>
      <c r="C49" s="41">
        <v>1</v>
      </c>
      <c r="D49" s="7">
        <f>SUM(D46:D48)</f>
        <v>2232073.5</v>
      </c>
      <c r="E49" s="8">
        <f>D49/$D49</f>
        <v>1</v>
      </c>
      <c r="F49" s="7">
        <f>SUM(F46:F47)-F48</f>
        <v>2006786.6099999999</v>
      </c>
      <c r="G49" s="5">
        <f t="shared" ref="G49" si="45">F49/$D49</f>
        <v>0.89906833713137124</v>
      </c>
      <c r="H49" s="22">
        <f>SUM(H46:H47)-H48</f>
        <v>225286.9</v>
      </c>
      <c r="I49" s="21">
        <f>H49/$D49</f>
        <v>0.10093166734876786</v>
      </c>
      <c r="J49" s="7">
        <f>SUM(J46:J47)-J48</f>
        <v>2232073.5</v>
      </c>
      <c r="K49" s="5">
        <f>J49/$D49</f>
        <v>1</v>
      </c>
      <c r="L49" s="4">
        <f>D49-J49</f>
        <v>0</v>
      </c>
      <c r="M49" s="5">
        <f>L49/$D49</f>
        <v>0</v>
      </c>
      <c r="N49" s="64"/>
    </row>
    <row r="50" spans="1:14" x14ac:dyDescent="0.2">
      <c r="A50" s="2" t="s">
        <v>75</v>
      </c>
      <c r="D50" s="1"/>
    </row>
    <row r="51" spans="1:14" x14ac:dyDescent="0.2">
      <c r="A51" s="54" t="s">
        <v>10</v>
      </c>
      <c r="B51" s="54" t="s">
        <v>11</v>
      </c>
      <c r="C51" s="54" t="s">
        <v>14</v>
      </c>
      <c r="D51" s="54" t="s">
        <v>12</v>
      </c>
      <c r="E51" s="54"/>
      <c r="F51" s="55" t="s">
        <v>21</v>
      </c>
      <c r="G51" s="56"/>
      <c r="H51" s="53" t="s">
        <v>22</v>
      </c>
      <c r="I51" s="53"/>
      <c r="J51" s="53" t="s">
        <v>20</v>
      </c>
      <c r="K51" s="53"/>
      <c r="L51" s="53" t="s">
        <v>0</v>
      </c>
      <c r="M51" s="53"/>
    </row>
    <row r="52" spans="1:14" x14ac:dyDescent="0.2">
      <c r="A52" s="54"/>
      <c r="B52" s="54"/>
      <c r="C52" s="54"/>
      <c r="D52" s="19" t="s">
        <v>13</v>
      </c>
      <c r="E52" s="19" t="s">
        <v>1</v>
      </c>
      <c r="F52" s="19" t="s">
        <v>13</v>
      </c>
      <c r="G52" s="19" t="s">
        <v>1</v>
      </c>
      <c r="H52" s="19" t="s">
        <v>13</v>
      </c>
      <c r="I52" s="19" t="s">
        <v>1</v>
      </c>
      <c r="J52" s="19" t="s">
        <v>13</v>
      </c>
      <c r="K52" s="19" t="s">
        <v>1</v>
      </c>
      <c r="L52" s="19" t="s">
        <v>13</v>
      </c>
      <c r="M52" s="19" t="s">
        <v>1</v>
      </c>
    </row>
    <row r="53" spans="1:14" x14ac:dyDescent="0.2">
      <c r="A53" s="3" t="s">
        <v>4</v>
      </c>
      <c r="B53" s="3" t="s">
        <v>6</v>
      </c>
      <c r="C53" s="40">
        <v>1</v>
      </c>
      <c r="D53" s="4">
        <v>60000</v>
      </c>
      <c r="E53" s="5">
        <f>D53/$D53</f>
        <v>1</v>
      </c>
      <c r="F53" s="4">
        <f>J36</f>
        <v>54000</v>
      </c>
      <c r="G53" s="5">
        <f t="shared" ref="G53:G57" si="46">F53/$D53</f>
        <v>0.9</v>
      </c>
      <c r="H53" s="20">
        <v>6000</v>
      </c>
      <c r="I53" s="21">
        <f t="shared" ref="I53:I56" si="47">H53/$D53</f>
        <v>0.1</v>
      </c>
      <c r="J53" s="4">
        <f>F53+H53</f>
        <v>60000</v>
      </c>
      <c r="K53" s="5">
        <f t="shared" ref="K53:K56" si="48">J53/$D53</f>
        <v>1</v>
      </c>
      <c r="L53" s="4">
        <f>D53-J53</f>
        <v>0</v>
      </c>
      <c r="M53" s="5">
        <f t="shared" ref="M53:M56" si="49">L53/$D53</f>
        <v>0</v>
      </c>
    </row>
    <row r="54" spans="1:14" x14ac:dyDescent="0.2">
      <c r="A54" s="6" t="s">
        <v>7</v>
      </c>
      <c r="B54" s="6" t="s">
        <v>9</v>
      </c>
      <c r="C54" s="41">
        <v>1</v>
      </c>
      <c r="D54" s="7">
        <f>SUM(D53)</f>
        <v>60000</v>
      </c>
      <c r="E54" s="8">
        <f>D54/$D54</f>
        <v>1</v>
      </c>
      <c r="F54" s="7">
        <f>SUM(F53)</f>
        <v>54000</v>
      </c>
      <c r="G54" s="5">
        <f t="shared" si="46"/>
        <v>0.9</v>
      </c>
      <c r="H54" s="22">
        <f>SUM(H53)</f>
        <v>6000</v>
      </c>
      <c r="I54" s="21">
        <f t="shared" si="47"/>
        <v>0.1</v>
      </c>
      <c r="J54" s="7">
        <f>SUM(J53)</f>
        <v>60000</v>
      </c>
      <c r="K54" s="5">
        <f t="shared" si="48"/>
        <v>1</v>
      </c>
      <c r="L54" s="4">
        <f>D54-J54</f>
        <v>0</v>
      </c>
      <c r="M54" s="5">
        <f t="shared" si="49"/>
        <v>0</v>
      </c>
    </row>
    <row r="55" spans="1:14" x14ac:dyDescent="0.2">
      <c r="A55" s="3" t="s">
        <v>8</v>
      </c>
      <c r="B55" s="3" t="s">
        <v>15</v>
      </c>
      <c r="C55" s="40">
        <v>1</v>
      </c>
      <c r="D55" s="4">
        <f>ROUND(D54*7%,2)</f>
        <v>4200</v>
      </c>
      <c r="E55" s="5">
        <f>D55/$D55</f>
        <v>1</v>
      </c>
      <c r="F55" s="4">
        <f>ROUND(F54*7%,2)</f>
        <v>3780</v>
      </c>
      <c r="G55" s="5">
        <f t="shared" si="46"/>
        <v>0.9</v>
      </c>
      <c r="H55" s="20">
        <f>ROUND(H54*7%,2)</f>
        <v>420</v>
      </c>
      <c r="I55" s="21">
        <f t="shared" si="47"/>
        <v>0.1</v>
      </c>
      <c r="J55" s="4">
        <f>ROUND(J54*7%,2)</f>
        <v>4200</v>
      </c>
      <c r="K55" s="5">
        <f t="shared" si="48"/>
        <v>1</v>
      </c>
      <c r="L55" s="4">
        <f>D55-J55</f>
        <v>0</v>
      </c>
      <c r="M55" s="5">
        <f t="shared" si="49"/>
        <v>0</v>
      </c>
    </row>
    <row r="56" spans="1:14" x14ac:dyDescent="0.2">
      <c r="A56" s="3" t="s">
        <v>17</v>
      </c>
      <c r="B56" s="3" t="s">
        <v>18</v>
      </c>
      <c r="C56" s="40">
        <v>1</v>
      </c>
      <c r="D56" s="4">
        <f>ROUND(D54*3%,2)</f>
        <v>1800</v>
      </c>
      <c r="E56" s="5">
        <f>D56/$D56</f>
        <v>1</v>
      </c>
      <c r="F56" s="4">
        <f>ROUND(F54*3%,2)</f>
        <v>1620</v>
      </c>
      <c r="G56" s="5">
        <f t="shared" si="46"/>
        <v>0.9</v>
      </c>
      <c r="H56" s="20">
        <f>ROUND(H54*3%,2)</f>
        <v>180</v>
      </c>
      <c r="I56" s="21">
        <f t="shared" si="47"/>
        <v>0.1</v>
      </c>
      <c r="J56" s="4">
        <f>ROUND(J54*3%,2)</f>
        <v>1800</v>
      </c>
      <c r="K56" s="5">
        <f t="shared" si="48"/>
        <v>1</v>
      </c>
      <c r="L56" s="4">
        <f>D56-J56</f>
        <v>0</v>
      </c>
      <c r="M56" s="5">
        <f t="shared" si="49"/>
        <v>0</v>
      </c>
    </row>
    <row r="57" spans="1:14" x14ac:dyDescent="0.2">
      <c r="A57" s="6" t="s">
        <v>16</v>
      </c>
      <c r="B57" s="6" t="s">
        <v>19</v>
      </c>
      <c r="C57" s="41">
        <v>1</v>
      </c>
      <c r="D57" s="7">
        <f>SUM(D54:D55)-D56</f>
        <v>62400</v>
      </c>
      <c r="E57" s="8">
        <f>D57/$D57</f>
        <v>1</v>
      </c>
      <c r="F57" s="7">
        <f>SUM(F54:F55)-F56</f>
        <v>56160</v>
      </c>
      <c r="G57" s="5">
        <f t="shared" si="46"/>
        <v>0.9</v>
      </c>
      <c r="H57" s="22">
        <f>SUM(H54:H55)-H56</f>
        <v>6240</v>
      </c>
      <c r="I57" s="21">
        <f>H57/$D57</f>
        <v>0.1</v>
      </c>
      <c r="J57" s="7">
        <f>SUM(J54:J55)-J56</f>
        <v>62400</v>
      </c>
      <c r="K57" s="5">
        <f>J57/$D57</f>
        <v>1</v>
      </c>
      <c r="L57" s="4">
        <f>D57-J57</f>
        <v>0</v>
      </c>
      <c r="M57" s="5">
        <f>L57/$D57</f>
        <v>0</v>
      </c>
    </row>
  </sheetData>
  <mergeCells count="57">
    <mergeCell ref="N45:N49"/>
    <mergeCell ref="H43:I43"/>
    <mergeCell ref="J43:K43"/>
    <mergeCell ref="L43:M43"/>
    <mergeCell ref="A51:A52"/>
    <mergeCell ref="B51:B52"/>
    <mergeCell ref="C51:C52"/>
    <mergeCell ref="D51:E51"/>
    <mergeCell ref="F51:G51"/>
    <mergeCell ref="H51:I51"/>
    <mergeCell ref="J51:K51"/>
    <mergeCell ref="L51:M51"/>
    <mergeCell ref="A43:A44"/>
    <mergeCell ref="B43:B44"/>
    <mergeCell ref="C43:C44"/>
    <mergeCell ref="D43:E43"/>
    <mergeCell ref="F43:G43"/>
    <mergeCell ref="H26:I26"/>
    <mergeCell ref="J26:K26"/>
    <mergeCell ref="L26:M26"/>
    <mergeCell ref="A34:A35"/>
    <mergeCell ref="B34:B35"/>
    <mergeCell ref="C34:C35"/>
    <mergeCell ref="D34:E34"/>
    <mergeCell ref="F34:G34"/>
    <mergeCell ref="H34:I34"/>
    <mergeCell ref="J34:K34"/>
    <mergeCell ref="L34:M34"/>
    <mergeCell ref="A26:A27"/>
    <mergeCell ref="B26:B27"/>
    <mergeCell ref="C26:C27"/>
    <mergeCell ref="D26:E26"/>
    <mergeCell ref="F26:G26"/>
    <mergeCell ref="L2:M2"/>
    <mergeCell ref="F2:G2"/>
    <mergeCell ref="F9:G9"/>
    <mergeCell ref="F17:G17"/>
    <mergeCell ref="L9:M9"/>
    <mergeCell ref="L17:M17"/>
    <mergeCell ref="J2:K2"/>
    <mergeCell ref="H9:I9"/>
    <mergeCell ref="H17:I17"/>
    <mergeCell ref="J9:K9"/>
    <mergeCell ref="J17:K17"/>
    <mergeCell ref="A2:A3"/>
    <mergeCell ref="B2:B3"/>
    <mergeCell ref="C2:C3"/>
    <mergeCell ref="D2:E2"/>
    <mergeCell ref="H2:I2"/>
    <mergeCell ref="D9:E9"/>
    <mergeCell ref="A9:A10"/>
    <mergeCell ref="B9:B10"/>
    <mergeCell ref="C9:C10"/>
    <mergeCell ref="A17:A18"/>
    <mergeCell ref="B17:B18"/>
    <mergeCell ref="C17:C18"/>
    <mergeCell ref="D17:E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C800-8EB4-4A5B-B814-69C0A141BC65}">
  <sheetPr>
    <pageSetUpPr fitToPage="1"/>
  </sheetPr>
  <dimension ref="A1:M18"/>
  <sheetViews>
    <sheetView workbookViewId="0">
      <selection activeCell="B30" sqref="B30"/>
    </sheetView>
  </sheetViews>
  <sheetFormatPr defaultRowHeight="12.75" x14ac:dyDescent="0.2"/>
  <cols>
    <col min="2" max="2" width="32.140625" customWidth="1"/>
    <col min="3" max="3" width="5.7109375" customWidth="1"/>
    <col min="4" max="4" width="14" customWidth="1"/>
    <col min="5" max="5" width="9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</cols>
  <sheetData>
    <row r="1" spans="1:13" x14ac:dyDescent="0.2">
      <c r="C1" s="2" t="s">
        <v>34</v>
      </c>
      <c r="L1" s="25"/>
      <c r="M1" s="25" t="s">
        <v>37</v>
      </c>
    </row>
    <row r="2" spans="1:13" x14ac:dyDescent="0.2">
      <c r="C2" s="2" t="s">
        <v>35</v>
      </c>
      <c r="L2" s="61">
        <v>45952</v>
      </c>
      <c r="M2" s="61"/>
    </row>
    <row r="3" spans="1:13" x14ac:dyDescent="0.2">
      <c r="C3" s="2" t="s">
        <v>36</v>
      </c>
    </row>
    <row r="5" spans="1:13" x14ac:dyDescent="0.2">
      <c r="A5" s="54" t="s">
        <v>10</v>
      </c>
      <c r="B5" s="54" t="s">
        <v>11</v>
      </c>
      <c r="C5" s="54" t="s">
        <v>14</v>
      </c>
      <c r="D5" s="54" t="s">
        <v>12</v>
      </c>
      <c r="E5" s="54"/>
      <c r="F5" s="55" t="s">
        <v>21</v>
      </c>
      <c r="G5" s="56"/>
      <c r="H5" s="53" t="s">
        <v>22</v>
      </c>
      <c r="I5" s="53"/>
      <c r="J5" s="53" t="s">
        <v>28</v>
      </c>
      <c r="K5" s="53"/>
      <c r="L5" s="53" t="s">
        <v>0</v>
      </c>
      <c r="M5" s="53"/>
    </row>
    <row r="6" spans="1:13" x14ac:dyDescent="0.2">
      <c r="A6" s="54"/>
      <c r="B6" s="54"/>
      <c r="C6" s="54"/>
      <c r="D6" s="19" t="s">
        <v>13</v>
      </c>
      <c r="E6" s="19" t="s">
        <v>1</v>
      </c>
      <c r="F6" s="19" t="s">
        <v>13</v>
      </c>
      <c r="G6" s="19" t="s">
        <v>1</v>
      </c>
      <c r="H6" s="19" t="s">
        <v>13</v>
      </c>
      <c r="I6" s="19" t="s">
        <v>1</v>
      </c>
      <c r="J6" s="19" t="s">
        <v>13</v>
      </c>
      <c r="K6" s="19" t="s">
        <v>1</v>
      </c>
      <c r="L6" s="19" t="s">
        <v>13</v>
      </c>
      <c r="M6" s="19" t="s">
        <v>1</v>
      </c>
    </row>
    <row r="7" spans="1:13" x14ac:dyDescent="0.2">
      <c r="A7" s="3" t="s">
        <v>2</v>
      </c>
      <c r="B7" s="3" t="s">
        <v>29</v>
      </c>
      <c r="C7" s="3">
        <v>1</v>
      </c>
      <c r="D7" s="4">
        <v>531463.86</v>
      </c>
      <c r="E7" s="5">
        <f>D7/$D7</f>
        <v>1</v>
      </c>
      <c r="F7" s="4">
        <v>0</v>
      </c>
      <c r="G7" s="5">
        <f t="shared" ref="G7:G13" si="0">F7/$D7</f>
        <v>0</v>
      </c>
      <c r="H7" s="20">
        <v>0</v>
      </c>
      <c r="I7" s="21">
        <f t="shared" ref="I7" si="1">H7/$D7</f>
        <v>0</v>
      </c>
      <c r="J7" s="4">
        <f>F7+H7</f>
        <v>0</v>
      </c>
      <c r="K7" s="5">
        <f t="shared" ref="K7:M13" si="2">J7/$D7</f>
        <v>0</v>
      </c>
      <c r="L7" s="4">
        <f>D7-J7</f>
        <v>531463.86</v>
      </c>
      <c r="M7" s="5">
        <f t="shared" si="2"/>
        <v>1</v>
      </c>
    </row>
    <row r="8" spans="1:13" x14ac:dyDescent="0.2">
      <c r="A8" s="3" t="s">
        <v>3</v>
      </c>
      <c r="B8" s="3" t="s">
        <v>27</v>
      </c>
      <c r="C8" s="3">
        <v>1</v>
      </c>
      <c r="D8" s="4">
        <v>1992195.05</v>
      </c>
      <c r="E8" s="5">
        <f t="shared" ref="E8:E13" si="3">D8/$D8</f>
        <v>1</v>
      </c>
      <c r="F8" s="4">
        <v>0</v>
      </c>
      <c r="G8" s="5">
        <f t="shared" si="0"/>
        <v>0</v>
      </c>
      <c r="H8" s="20">
        <v>0</v>
      </c>
      <c r="I8" s="21">
        <f t="shared" ref="I8:I13" si="4">H8/$D8</f>
        <v>0</v>
      </c>
      <c r="J8" s="4">
        <f t="shared" ref="J8:J13" si="5">F8+H8</f>
        <v>0</v>
      </c>
      <c r="K8" s="5">
        <f t="shared" si="2"/>
        <v>0</v>
      </c>
      <c r="L8" s="4">
        <f t="shared" ref="L8:L13" si="6">D8-J8</f>
        <v>1992195.05</v>
      </c>
      <c r="M8" s="5">
        <f t="shared" si="2"/>
        <v>1</v>
      </c>
    </row>
    <row r="9" spans="1:13" x14ac:dyDescent="0.2">
      <c r="A9" s="3"/>
      <c r="B9" s="3"/>
      <c r="C9" s="3"/>
      <c r="D9" s="4"/>
      <c r="E9" s="5"/>
      <c r="F9" s="4"/>
      <c r="G9" s="5"/>
      <c r="H9" s="20"/>
      <c r="I9" s="21"/>
      <c r="J9" s="4"/>
      <c r="K9" s="5"/>
      <c r="L9" s="4"/>
      <c r="M9" s="5"/>
    </row>
    <row r="10" spans="1:13" x14ac:dyDescent="0.2">
      <c r="A10" s="3" t="s">
        <v>23</v>
      </c>
      <c r="B10" s="3" t="s">
        <v>30</v>
      </c>
      <c r="C10" s="3">
        <v>1</v>
      </c>
      <c r="D10" s="4">
        <v>55300</v>
      </c>
      <c r="E10" s="5">
        <f t="shared" si="3"/>
        <v>1</v>
      </c>
      <c r="F10" s="4">
        <v>0</v>
      </c>
      <c r="G10" s="5">
        <f t="shared" si="0"/>
        <v>0</v>
      </c>
      <c r="H10" s="20">
        <v>0</v>
      </c>
      <c r="I10" s="21">
        <f t="shared" si="4"/>
        <v>0</v>
      </c>
      <c r="J10" s="4">
        <f t="shared" si="5"/>
        <v>0</v>
      </c>
      <c r="K10" s="5">
        <f t="shared" si="2"/>
        <v>0</v>
      </c>
      <c r="L10" s="4">
        <f t="shared" si="6"/>
        <v>55300</v>
      </c>
      <c r="M10" s="5">
        <f t="shared" si="2"/>
        <v>1</v>
      </c>
    </row>
    <row r="11" spans="1:13" x14ac:dyDescent="0.2">
      <c r="A11" s="3" t="s">
        <v>24</v>
      </c>
      <c r="B11" s="3" t="s">
        <v>31</v>
      </c>
      <c r="C11" s="3">
        <v>1</v>
      </c>
      <c r="D11" s="4">
        <v>18000</v>
      </c>
      <c r="E11" s="5">
        <f t="shared" si="3"/>
        <v>1</v>
      </c>
      <c r="F11" s="4">
        <v>0</v>
      </c>
      <c r="G11" s="5">
        <f t="shared" si="0"/>
        <v>0</v>
      </c>
      <c r="H11" s="20">
        <v>0</v>
      </c>
      <c r="I11" s="21">
        <f t="shared" si="4"/>
        <v>0</v>
      </c>
      <c r="J11" s="4">
        <f t="shared" si="5"/>
        <v>0</v>
      </c>
      <c r="K11" s="5">
        <f t="shared" si="2"/>
        <v>0</v>
      </c>
      <c r="L11" s="4">
        <f t="shared" si="6"/>
        <v>18000</v>
      </c>
      <c r="M11" s="5">
        <f t="shared" si="2"/>
        <v>1</v>
      </c>
    </row>
    <row r="12" spans="1:13" x14ac:dyDescent="0.2">
      <c r="A12" s="3" t="s">
        <v>25</v>
      </c>
      <c r="B12" s="3" t="s">
        <v>32</v>
      </c>
      <c r="C12" s="3">
        <v>1</v>
      </c>
      <c r="D12" s="4">
        <v>15000</v>
      </c>
      <c r="E12" s="5">
        <f t="shared" si="3"/>
        <v>1</v>
      </c>
      <c r="F12" s="4">
        <v>0</v>
      </c>
      <c r="G12" s="5">
        <f t="shared" si="0"/>
        <v>0</v>
      </c>
      <c r="H12" s="20">
        <v>0</v>
      </c>
      <c r="I12" s="21">
        <f t="shared" si="4"/>
        <v>0</v>
      </c>
      <c r="J12" s="4">
        <f t="shared" si="5"/>
        <v>0</v>
      </c>
      <c r="K12" s="5">
        <f t="shared" si="2"/>
        <v>0</v>
      </c>
      <c r="L12" s="4">
        <f t="shared" si="6"/>
        <v>15000</v>
      </c>
      <c r="M12" s="5">
        <f t="shared" si="2"/>
        <v>1</v>
      </c>
    </row>
    <row r="13" spans="1:13" x14ac:dyDescent="0.2">
      <c r="A13" s="3" t="s">
        <v>26</v>
      </c>
      <c r="B13" s="3" t="s">
        <v>33</v>
      </c>
      <c r="C13" s="3">
        <v>1</v>
      </c>
      <c r="D13" s="4">
        <v>261195.89</v>
      </c>
      <c r="E13" s="5">
        <f t="shared" si="3"/>
        <v>1</v>
      </c>
      <c r="F13" s="4">
        <v>0</v>
      </c>
      <c r="G13" s="5">
        <f t="shared" si="0"/>
        <v>0</v>
      </c>
      <c r="H13" s="20">
        <v>0</v>
      </c>
      <c r="I13" s="21">
        <f t="shared" si="4"/>
        <v>0</v>
      </c>
      <c r="J13" s="4">
        <f t="shared" si="5"/>
        <v>0</v>
      </c>
      <c r="K13" s="5">
        <f t="shared" si="2"/>
        <v>0</v>
      </c>
      <c r="L13" s="4">
        <f t="shared" si="6"/>
        <v>261195.89</v>
      </c>
      <c r="M13" s="5">
        <f t="shared" si="2"/>
        <v>1</v>
      </c>
    </row>
    <row r="14" spans="1:13" x14ac:dyDescent="0.2">
      <c r="A14" s="3"/>
      <c r="B14" s="3"/>
      <c r="C14" s="3"/>
      <c r="D14" s="4"/>
      <c r="E14" s="5"/>
      <c r="F14" s="4"/>
      <c r="G14" s="5"/>
      <c r="H14" s="20"/>
      <c r="I14" s="21"/>
      <c r="J14" s="4"/>
      <c r="K14" s="5"/>
      <c r="L14" s="4"/>
      <c r="M14" s="5"/>
    </row>
    <row r="15" spans="1:13" s="2" customFormat="1" x14ac:dyDescent="0.2">
      <c r="A15" s="6" t="s">
        <v>7</v>
      </c>
      <c r="B15" s="6" t="s">
        <v>9</v>
      </c>
      <c r="C15" s="6">
        <v>1</v>
      </c>
      <c r="D15" s="7">
        <f>SUM(D7:D13)</f>
        <v>2873154.8000000003</v>
      </c>
      <c r="E15" s="8">
        <f>D15/$D15</f>
        <v>1</v>
      </c>
      <c r="F15" s="7">
        <f t="shared" ref="F15" si="7">SUM(F7:F13)</f>
        <v>0</v>
      </c>
      <c r="G15" s="8">
        <f t="shared" ref="G15" si="8">F15/$D15</f>
        <v>0</v>
      </c>
      <c r="H15" s="22">
        <f t="shared" ref="H15" si="9">SUM(H7:H13)</f>
        <v>0</v>
      </c>
      <c r="I15" s="24">
        <f t="shared" ref="I15" si="10">H15/$D15</f>
        <v>0</v>
      </c>
      <c r="J15" s="7">
        <f t="shared" ref="J15" si="11">SUM(J7:J13)</f>
        <v>0</v>
      </c>
      <c r="K15" s="8">
        <f t="shared" ref="K15" si="12">J15/$D15</f>
        <v>0</v>
      </c>
      <c r="L15" s="7">
        <f t="shared" ref="L15" si="13">SUM(L7:L13)</f>
        <v>2873154.8000000003</v>
      </c>
      <c r="M15" s="8">
        <f t="shared" ref="M15:M18" si="14">L15/$D15</f>
        <v>1</v>
      </c>
    </row>
    <row r="16" spans="1:13" x14ac:dyDescent="0.2">
      <c r="A16" s="3" t="s">
        <v>8</v>
      </c>
      <c r="B16" s="3" t="s">
        <v>15</v>
      </c>
      <c r="C16" s="3">
        <v>1</v>
      </c>
      <c r="D16" s="4">
        <f>ROUND(D15*7%,2)</f>
        <v>201120.84</v>
      </c>
      <c r="E16" s="5">
        <f>D16/$D16</f>
        <v>1</v>
      </c>
      <c r="F16" s="4">
        <f t="shared" ref="F16" si="15">ROUND(F15*7%,2)</f>
        <v>0</v>
      </c>
      <c r="G16" s="5">
        <f t="shared" ref="G16" si="16">F16/$D16</f>
        <v>0</v>
      </c>
      <c r="H16" s="20">
        <f t="shared" ref="H16" si="17">ROUND(H15*7%,2)</f>
        <v>0</v>
      </c>
      <c r="I16" s="21">
        <f t="shared" ref="I16" si="18">H16/$D16</f>
        <v>0</v>
      </c>
      <c r="J16" s="4">
        <f t="shared" ref="J16" si="19">ROUND(J15*7%,2)</f>
        <v>0</v>
      </c>
      <c r="K16" s="5">
        <f t="shared" ref="K16" si="20">J16/$D16</f>
        <v>0</v>
      </c>
      <c r="L16" s="4">
        <f t="shared" ref="L16" si="21">ROUND(L15*7%,2)</f>
        <v>201120.84</v>
      </c>
      <c r="M16" s="5">
        <f t="shared" si="14"/>
        <v>1</v>
      </c>
    </row>
    <row r="17" spans="1:13" x14ac:dyDescent="0.2">
      <c r="A17" s="3" t="s">
        <v>17</v>
      </c>
      <c r="B17" s="3" t="s">
        <v>18</v>
      </c>
      <c r="C17" s="3">
        <v>1</v>
      </c>
      <c r="D17" s="4">
        <f>ROUND(D15*3%,2)</f>
        <v>86194.64</v>
      </c>
      <c r="E17" s="5">
        <f>D17/$D17</f>
        <v>1</v>
      </c>
      <c r="F17" s="4">
        <f t="shared" ref="F17" si="22">ROUND(F15*3%,2)</f>
        <v>0</v>
      </c>
      <c r="G17" s="5">
        <f t="shared" ref="G17" si="23">F17/$D17</f>
        <v>0</v>
      </c>
      <c r="H17" s="20">
        <f t="shared" ref="H17" si="24">ROUND(H15*3%,2)</f>
        <v>0</v>
      </c>
      <c r="I17" s="21">
        <f t="shared" ref="I17" si="25">H17/$D17</f>
        <v>0</v>
      </c>
      <c r="J17" s="4">
        <f t="shared" ref="J17" si="26">ROUND(J15*3%,2)</f>
        <v>0</v>
      </c>
      <c r="K17" s="5">
        <f t="shared" ref="K17" si="27">J17/$D17</f>
        <v>0</v>
      </c>
      <c r="L17" s="4">
        <f t="shared" ref="L17" si="28">ROUND(L15*3%,2)</f>
        <v>86194.64</v>
      </c>
      <c r="M17" s="5">
        <f t="shared" si="14"/>
        <v>1</v>
      </c>
    </row>
    <row r="18" spans="1:13" s="2" customFormat="1" x14ac:dyDescent="0.2">
      <c r="A18" s="6" t="s">
        <v>16</v>
      </c>
      <c r="B18" s="6" t="s">
        <v>19</v>
      </c>
      <c r="C18" s="6">
        <v>1</v>
      </c>
      <c r="D18" s="7">
        <f>SUM(D15:D16)-D17</f>
        <v>2988081</v>
      </c>
      <c r="E18" s="8">
        <f>D18/$D18</f>
        <v>1</v>
      </c>
      <c r="F18" s="7">
        <f t="shared" ref="F18" si="29">SUM(F15:F16)-F17</f>
        <v>0</v>
      </c>
      <c r="G18" s="8">
        <f t="shared" ref="G18" si="30">F18/$D18</f>
        <v>0</v>
      </c>
      <c r="H18" s="22">
        <f t="shared" ref="H18" si="31">SUM(H15:H16)-H17</f>
        <v>0</v>
      </c>
      <c r="I18" s="24">
        <f t="shared" ref="I18" si="32">H18/$D18</f>
        <v>0</v>
      </c>
      <c r="J18" s="7">
        <f t="shared" ref="J18" si="33">SUM(J15:J16)-J17</f>
        <v>0</v>
      </c>
      <c r="K18" s="8">
        <f t="shared" ref="K18" si="34">J18/$D18</f>
        <v>0</v>
      </c>
      <c r="L18" s="7">
        <f t="shared" ref="L18" si="35">SUM(L15:L16)-L17</f>
        <v>2988081</v>
      </c>
      <c r="M18" s="8">
        <f t="shared" si="14"/>
        <v>1</v>
      </c>
    </row>
  </sheetData>
  <mergeCells count="9">
    <mergeCell ref="A5:A6"/>
    <mergeCell ref="B5:B6"/>
    <mergeCell ref="C5:C6"/>
    <mergeCell ref="L2:M2"/>
    <mergeCell ref="D5:E5"/>
    <mergeCell ref="F5:G5"/>
    <mergeCell ref="H5:I5"/>
    <mergeCell ref="J5:K5"/>
    <mergeCell ref="L5:M5"/>
  </mergeCells>
  <phoneticPr fontId="7" type="noConversion"/>
  <pageMargins left="0.7" right="0.7" top="0.75" bottom="0.75" header="0.3" footer="0.3"/>
  <pageSetup paperSize="9" scale="82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F3BD-8ABC-4B58-B716-33161A98B64F}">
  <dimension ref="A1:M44"/>
  <sheetViews>
    <sheetView workbookViewId="0">
      <selection activeCell="D17" sqref="D17"/>
    </sheetView>
  </sheetViews>
  <sheetFormatPr defaultRowHeight="12.75" x14ac:dyDescent="0.2"/>
  <cols>
    <col min="1" max="1" width="6.85546875" customWidth="1"/>
    <col min="2" max="2" width="28.140625" customWidth="1"/>
    <col min="3" max="3" width="4.5703125" bestFit="1" customWidth="1"/>
    <col min="4" max="4" width="15.85546875" customWidth="1"/>
    <col min="6" max="6" width="15.85546875" customWidth="1"/>
    <col min="8" max="8" width="15.85546875" customWidth="1"/>
    <col min="10" max="10" width="15.85546875" customWidth="1"/>
    <col min="12" max="12" width="15.85546875" customWidth="1"/>
  </cols>
  <sheetData>
    <row r="1" spans="1:13" x14ac:dyDescent="0.2">
      <c r="A1" s="2"/>
    </row>
    <row r="2" spans="1:13" x14ac:dyDescent="0.2">
      <c r="A2" s="2"/>
    </row>
    <row r="3" spans="1:13" x14ac:dyDescent="0.2">
      <c r="A3" s="2"/>
    </row>
    <row r="4" spans="1:13" x14ac:dyDescent="0.2">
      <c r="A4" t="s">
        <v>52</v>
      </c>
    </row>
    <row r="5" spans="1:13" x14ac:dyDescent="0.2">
      <c r="A5" s="54" t="s">
        <v>10</v>
      </c>
      <c r="B5" s="54" t="s">
        <v>11</v>
      </c>
      <c r="C5" s="54" t="s">
        <v>14</v>
      </c>
      <c r="D5" s="54" t="s">
        <v>12</v>
      </c>
      <c r="E5" s="54"/>
      <c r="F5" s="55" t="s">
        <v>21</v>
      </c>
      <c r="G5" s="56"/>
      <c r="H5" s="53" t="s">
        <v>22</v>
      </c>
      <c r="I5" s="53"/>
      <c r="J5" s="53" t="s">
        <v>28</v>
      </c>
      <c r="K5" s="53"/>
      <c r="L5" s="53" t="s">
        <v>0</v>
      </c>
      <c r="M5" s="53"/>
    </row>
    <row r="6" spans="1:13" x14ac:dyDescent="0.2">
      <c r="A6" s="54"/>
      <c r="B6" s="54"/>
      <c r="C6" s="54"/>
      <c r="D6" s="19" t="s">
        <v>13</v>
      </c>
      <c r="E6" s="19" t="s">
        <v>1</v>
      </c>
      <c r="F6" s="19" t="s">
        <v>13</v>
      </c>
      <c r="G6" s="19" t="s">
        <v>1</v>
      </c>
      <c r="H6" s="19" t="s">
        <v>13</v>
      </c>
      <c r="I6" s="19" t="s">
        <v>1</v>
      </c>
      <c r="J6" s="19" t="s">
        <v>13</v>
      </c>
      <c r="K6" s="19" t="s">
        <v>1</v>
      </c>
      <c r="L6" s="19" t="s">
        <v>13</v>
      </c>
      <c r="M6" s="19" t="s">
        <v>1</v>
      </c>
    </row>
    <row r="7" spans="1:13" x14ac:dyDescent="0.2">
      <c r="A7" s="3" t="s">
        <v>4</v>
      </c>
      <c r="B7" s="46" t="s">
        <v>54</v>
      </c>
      <c r="C7" s="3">
        <v>1</v>
      </c>
      <c r="D7" s="48">
        <v>631750.46</v>
      </c>
      <c r="E7" s="49">
        <f>D7/$D7</f>
        <v>1</v>
      </c>
      <c r="F7" s="48">
        <v>0</v>
      </c>
      <c r="G7" s="49">
        <f>F7/$D7</f>
        <v>0</v>
      </c>
      <c r="H7" s="50">
        <f>D7</f>
        <v>631750.46</v>
      </c>
      <c r="I7" s="51">
        <f>H7/$D7</f>
        <v>1</v>
      </c>
      <c r="J7" s="48">
        <f>F7+H7</f>
        <v>631750.46</v>
      </c>
      <c r="K7" s="49">
        <f>J7/$D7</f>
        <v>1</v>
      </c>
      <c r="L7" s="48">
        <f>D7-J7</f>
        <v>0</v>
      </c>
      <c r="M7" s="49">
        <f t="shared" ref="M7" si="0">L7/$D7</f>
        <v>0</v>
      </c>
    </row>
    <row r="8" spans="1:13" x14ac:dyDescent="0.2">
      <c r="A8" s="3"/>
      <c r="B8" s="46" t="s">
        <v>55</v>
      </c>
      <c r="C8" s="3">
        <v>1</v>
      </c>
      <c r="D8" s="48">
        <v>567479.22</v>
      </c>
      <c r="E8" s="49">
        <f t="shared" ref="E8:E17" si="1">D8/$D8</f>
        <v>1</v>
      </c>
      <c r="F8" s="48">
        <v>0</v>
      </c>
      <c r="G8" s="49">
        <f t="shared" ref="G8:G15" si="2">F8/$D8</f>
        <v>0</v>
      </c>
      <c r="H8" s="50">
        <f t="shared" ref="H8:H15" si="3">D8</f>
        <v>567479.22</v>
      </c>
      <c r="I8" s="51">
        <f t="shared" ref="I8:I15" si="4">H8/$D8</f>
        <v>1</v>
      </c>
      <c r="J8" s="48">
        <f t="shared" ref="J8:J15" si="5">F8+H8</f>
        <v>567479.22</v>
      </c>
      <c r="K8" s="49">
        <f t="shared" ref="K8:K15" si="6">J8/$D8</f>
        <v>1</v>
      </c>
      <c r="L8" s="48">
        <f t="shared" ref="L8:L15" si="7">D8-J8</f>
        <v>0</v>
      </c>
      <c r="M8" s="49">
        <f t="shared" ref="M8:M15" si="8">L8/$D8</f>
        <v>0</v>
      </c>
    </row>
    <row r="9" spans="1:13" x14ac:dyDescent="0.2">
      <c r="A9" s="3"/>
      <c r="B9" s="52" t="s">
        <v>56</v>
      </c>
      <c r="C9" s="30">
        <v>1</v>
      </c>
      <c r="D9" s="31">
        <v>-1663499.2</v>
      </c>
      <c r="E9" s="32">
        <f t="shared" si="1"/>
        <v>1</v>
      </c>
      <c r="F9" s="31">
        <v>0</v>
      </c>
      <c r="G9" s="32">
        <f t="shared" si="2"/>
        <v>0</v>
      </c>
      <c r="H9" s="35">
        <f t="shared" si="3"/>
        <v>-1663499.2</v>
      </c>
      <c r="I9" s="36">
        <f t="shared" si="4"/>
        <v>1</v>
      </c>
      <c r="J9" s="31">
        <f t="shared" si="5"/>
        <v>-1663499.2</v>
      </c>
      <c r="K9" s="32">
        <f t="shared" si="6"/>
        <v>1</v>
      </c>
      <c r="L9" s="31">
        <f t="shared" si="7"/>
        <v>0</v>
      </c>
      <c r="M9" s="32">
        <f t="shared" si="8"/>
        <v>0</v>
      </c>
    </row>
    <row r="10" spans="1:13" x14ac:dyDescent="0.2">
      <c r="A10" s="3"/>
      <c r="B10" s="46" t="s">
        <v>57</v>
      </c>
      <c r="C10" s="3">
        <v>1</v>
      </c>
      <c r="D10" s="48">
        <v>4495700</v>
      </c>
      <c r="E10" s="49">
        <f t="shared" si="1"/>
        <v>1</v>
      </c>
      <c r="F10" s="48">
        <v>0</v>
      </c>
      <c r="G10" s="49">
        <f t="shared" si="2"/>
        <v>0</v>
      </c>
      <c r="H10" s="50">
        <f t="shared" si="3"/>
        <v>4495700</v>
      </c>
      <c r="I10" s="51">
        <f t="shared" si="4"/>
        <v>1</v>
      </c>
      <c r="J10" s="48">
        <f t="shared" si="5"/>
        <v>4495700</v>
      </c>
      <c r="K10" s="49">
        <f t="shared" si="6"/>
        <v>1</v>
      </c>
      <c r="L10" s="48">
        <f t="shared" si="7"/>
        <v>0</v>
      </c>
      <c r="M10" s="49">
        <f t="shared" si="8"/>
        <v>0</v>
      </c>
    </row>
    <row r="11" spans="1:13" x14ac:dyDescent="0.2">
      <c r="A11" s="3"/>
      <c r="B11" s="46" t="s">
        <v>58</v>
      </c>
      <c r="C11" s="3">
        <v>1</v>
      </c>
      <c r="D11" s="48">
        <v>2510608.7999999998</v>
      </c>
      <c r="E11" s="49">
        <f t="shared" si="1"/>
        <v>1</v>
      </c>
      <c r="F11" s="48">
        <v>0</v>
      </c>
      <c r="G11" s="49">
        <f t="shared" si="2"/>
        <v>0</v>
      </c>
      <c r="H11" s="50">
        <f t="shared" si="3"/>
        <v>2510608.7999999998</v>
      </c>
      <c r="I11" s="51">
        <f t="shared" si="4"/>
        <v>1</v>
      </c>
      <c r="J11" s="48">
        <f t="shared" si="5"/>
        <v>2510608.7999999998</v>
      </c>
      <c r="K11" s="49">
        <f t="shared" si="6"/>
        <v>1</v>
      </c>
      <c r="L11" s="48">
        <f t="shared" si="7"/>
        <v>0</v>
      </c>
      <c r="M11" s="49">
        <f t="shared" si="8"/>
        <v>0</v>
      </c>
    </row>
    <row r="12" spans="1:13" x14ac:dyDescent="0.2">
      <c r="A12" s="3"/>
      <c r="B12" s="46" t="s">
        <v>59</v>
      </c>
      <c r="C12" s="3">
        <v>1</v>
      </c>
      <c r="D12" s="48">
        <v>266415.59999999998</v>
      </c>
      <c r="E12" s="49">
        <f t="shared" si="1"/>
        <v>1</v>
      </c>
      <c r="F12" s="48">
        <v>0</v>
      </c>
      <c r="G12" s="49">
        <f t="shared" si="2"/>
        <v>0</v>
      </c>
      <c r="H12" s="50">
        <f t="shared" si="3"/>
        <v>266415.59999999998</v>
      </c>
      <c r="I12" s="51">
        <f t="shared" si="4"/>
        <v>1</v>
      </c>
      <c r="J12" s="48">
        <f t="shared" si="5"/>
        <v>266415.59999999998</v>
      </c>
      <c r="K12" s="49">
        <f t="shared" si="6"/>
        <v>1</v>
      </c>
      <c r="L12" s="48">
        <f t="shared" si="7"/>
        <v>0</v>
      </c>
      <c r="M12" s="49">
        <f t="shared" si="8"/>
        <v>0</v>
      </c>
    </row>
    <row r="13" spans="1:13" x14ac:dyDescent="0.2">
      <c r="A13" s="3"/>
      <c r="B13" s="46" t="s">
        <v>60</v>
      </c>
      <c r="C13" s="3">
        <v>1</v>
      </c>
      <c r="D13" s="48">
        <v>868481.9</v>
      </c>
      <c r="E13" s="49">
        <f t="shared" si="1"/>
        <v>1</v>
      </c>
      <c r="F13" s="48">
        <v>0</v>
      </c>
      <c r="G13" s="49">
        <f t="shared" si="2"/>
        <v>0</v>
      </c>
      <c r="H13" s="50">
        <f t="shared" si="3"/>
        <v>868481.9</v>
      </c>
      <c r="I13" s="51">
        <f t="shared" si="4"/>
        <v>1</v>
      </c>
      <c r="J13" s="48">
        <f t="shared" si="5"/>
        <v>868481.9</v>
      </c>
      <c r="K13" s="49">
        <f t="shared" si="6"/>
        <v>1</v>
      </c>
      <c r="L13" s="48">
        <f t="shared" si="7"/>
        <v>0</v>
      </c>
      <c r="M13" s="49">
        <f t="shared" si="8"/>
        <v>0</v>
      </c>
    </row>
    <row r="14" spans="1:13" x14ac:dyDescent="0.2">
      <c r="A14" s="3"/>
      <c r="B14" s="46" t="s">
        <v>61</v>
      </c>
      <c r="C14" s="3">
        <v>1</v>
      </c>
      <c r="D14" s="48">
        <v>898260</v>
      </c>
      <c r="E14" s="49">
        <f t="shared" si="1"/>
        <v>1</v>
      </c>
      <c r="F14" s="48">
        <v>0</v>
      </c>
      <c r="G14" s="49">
        <f t="shared" si="2"/>
        <v>0</v>
      </c>
      <c r="H14" s="50">
        <f t="shared" si="3"/>
        <v>898260</v>
      </c>
      <c r="I14" s="51">
        <f t="shared" si="4"/>
        <v>1</v>
      </c>
      <c r="J14" s="48">
        <f t="shared" si="5"/>
        <v>898260</v>
      </c>
      <c r="K14" s="49">
        <f t="shared" si="6"/>
        <v>1</v>
      </c>
      <c r="L14" s="48">
        <f t="shared" si="7"/>
        <v>0</v>
      </c>
      <c r="M14" s="49">
        <f t="shared" si="8"/>
        <v>0</v>
      </c>
    </row>
    <row r="15" spans="1:13" x14ac:dyDescent="0.2">
      <c r="A15" s="3"/>
      <c r="B15" s="46" t="s">
        <v>62</v>
      </c>
      <c r="C15" s="3">
        <v>1</v>
      </c>
      <c r="D15" s="48">
        <v>100633.28</v>
      </c>
      <c r="E15" s="49">
        <f t="shared" si="1"/>
        <v>1</v>
      </c>
      <c r="F15" s="48">
        <v>0</v>
      </c>
      <c r="G15" s="49">
        <f t="shared" si="2"/>
        <v>0</v>
      </c>
      <c r="H15" s="50">
        <f t="shared" si="3"/>
        <v>100633.28</v>
      </c>
      <c r="I15" s="51">
        <f t="shared" si="4"/>
        <v>1</v>
      </c>
      <c r="J15" s="48">
        <f t="shared" si="5"/>
        <v>100633.28</v>
      </c>
      <c r="K15" s="49">
        <f t="shared" si="6"/>
        <v>1</v>
      </c>
      <c r="L15" s="48">
        <f t="shared" si="7"/>
        <v>0</v>
      </c>
      <c r="M15" s="49">
        <f t="shared" si="8"/>
        <v>0</v>
      </c>
    </row>
    <row r="16" spans="1:13" x14ac:dyDescent="0.2">
      <c r="A16" s="3"/>
      <c r="B16" s="3"/>
      <c r="C16" s="3"/>
      <c r="D16" s="26"/>
      <c r="E16" s="27"/>
      <c r="F16" s="26"/>
      <c r="G16" s="27"/>
      <c r="H16" s="33"/>
      <c r="I16" s="34"/>
      <c r="J16" s="26"/>
      <c r="K16" s="27"/>
      <c r="L16" s="26"/>
      <c r="M16" s="27"/>
    </row>
    <row r="17" spans="1:13" x14ac:dyDescent="0.2">
      <c r="A17" s="3" t="s">
        <v>63</v>
      </c>
      <c r="B17" s="3" t="s">
        <v>65</v>
      </c>
      <c r="C17" s="3"/>
      <c r="D17" s="26">
        <v>8617278</v>
      </c>
      <c r="E17" s="49">
        <f t="shared" si="1"/>
        <v>1</v>
      </c>
      <c r="F17" s="26"/>
      <c r="G17" s="27"/>
      <c r="H17" s="33"/>
      <c r="I17" s="34"/>
      <c r="J17" s="26"/>
      <c r="K17" s="27"/>
      <c r="L17" s="26"/>
      <c r="M17" s="27"/>
    </row>
    <row r="18" spans="1:13" s="39" customFormat="1" x14ac:dyDescent="0.2">
      <c r="A18" s="3" t="s">
        <v>7</v>
      </c>
      <c r="B18" s="47">
        <v>0</v>
      </c>
      <c r="C18" s="3">
        <v>1</v>
      </c>
      <c r="D18" s="26">
        <f>ROUND(D7*$B$18,2)</f>
        <v>0</v>
      </c>
      <c r="E18" s="27" t="e">
        <f t="shared" ref="E18:E19" si="9">D18/$D18</f>
        <v>#DIV/0!</v>
      </c>
      <c r="F18" s="26">
        <f t="shared" ref="F18" si="10">ROUND(F7*$B$18,2)</f>
        <v>0</v>
      </c>
      <c r="G18" s="27" t="e">
        <f t="shared" ref="G18:G19" si="11">F18/$D18</f>
        <v>#DIV/0!</v>
      </c>
      <c r="H18" s="33">
        <f t="shared" ref="H18" si="12">ROUND(H7*$B$18,2)</f>
        <v>0</v>
      </c>
      <c r="I18" s="34" t="e">
        <f t="shared" ref="I18:I19" si="13">H18/$D18</f>
        <v>#DIV/0!</v>
      </c>
      <c r="J18" s="26">
        <f t="shared" ref="J18" si="14">ROUND(J7*$B$18,2)</f>
        <v>0</v>
      </c>
      <c r="K18" s="27" t="e">
        <f t="shared" ref="K18:K19" si="15">J18/$D18</f>
        <v>#DIV/0!</v>
      </c>
      <c r="L18" s="26">
        <f t="shared" ref="L18" si="16">ROUND(L7*$B$18,2)</f>
        <v>0</v>
      </c>
      <c r="M18" s="27" t="e">
        <f t="shared" ref="M18:M19" si="17">L18/$D18</f>
        <v>#DIV/0!</v>
      </c>
    </row>
    <row r="19" spans="1:13" s="2" customFormat="1" x14ac:dyDescent="0.2">
      <c r="A19" s="6" t="s">
        <v>8</v>
      </c>
      <c r="B19" s="6" t="s">
        <v>64</v>
      </c>
      <c r="C19" s="6">
        <v>1</v>
      </c>
      <c r="D19" s="28">
        <f>SUM(D7:D15)-D18-D17</f>
        <v>58552.059999998659</v>
      </c>
      <c r="E19" s="29">
        <f t="shared" si="9"/>
        <v>1</v>
      </c>
      <c r="F19" s="26">
        <f>SUM(F7:F15)-F18</f>
        <v>0</v>
      </c>
      <c r="G19" s="29">
        <f t="shared" si="11"/>
        <v>0</v>
      </c>
      <c r="H19" s="37">
        <f>SUM(H7:H15)-H18</f>
        <v>8675830.0599999987</v>
      </c>
      <c r="I19" s="38">
        <f t="shared" si="13"/>
        <v>148.17292611054501</v>
      </c>
      <c r="J19" s="28">
        <f>SUM(J7:J15)-J18</f>
        <v>8675830.0599999987</v>
      </c>
      <c r="K19" s="29">
        <f t="shared" si="15"/>
        <v>148.17292611054501</v>
      </c>
      <c r="L19" s="28">
        <f>SUM(L7:L15)-L18</f>
        <v>0</v>
      </c>
      <c r="M19" s="29">
        <f t="shared" si="17"/>
        <v>0</v>
      </c>
    </row>
    <row r="20" spans="1:13" s="2" customFormat="1" x14ac:dyDescent="0.2">
      <c r="A20" s="6"/>
      <c r="B20" s="3"/>
      <c r="C20" s="3"/>
      <c r="D20" s="26"/>
      <c r="E20" s="27"/>
      <c r="F20" s="26"/>
      <c r="G20" s="27"/>
      <c r="H20" s="33"/>
      <c r="I20" s="34"/>
      <c r="J20" s="26"/>
      <c r="K20" s="27"/>
      <c r="L20" s="26"/>
      <c r="M20" s="27"/>
    </row>
    <row r="21" spans="1:13" x14ac:dyDescent="0.2">
      <c r="A21" s="3" t="s">
        <v>17</v>
      </c>
      <c r="B21" s="3" t="s">
        <v>41</v>
      </c>
      <c r="C21" s="3">
        <v>1</v>
      </c>
      <c r="D21" s="26">
        <f>ROUND(D19*7%,2)</f>
        <v>4098.6400000000003</v>
      </c>
      <c r="E21" s="27">
        <f t="shared" ref="E21:E22" si="18">D21/$D21</f>
        <v>1</v>
      </c>
      <c r="F21" s="26">
        <f t="shared" ref="F21" si="19">ROUND(F19*7%,2)</f>
        <v>0</v>
      </c>
      <c r="G21" s="27">
        <f t="shared" ref="G21:G22" si="20">F21/$D21</f>
        <v>0</v>
      </c>
      <c r="H21" s="33">
        <f t="shared" ref="H21" si="21">ROUND(H19*7%,2)</f>
        <v>607308.1</v>
      </c>
      <c r="I21" s="34">
        <f t="shared" ref="I21:I22" si="22">H21/$D21</f>
        <v>148.17307692307691</v>
      </c>
      <c r="J21" s="26">
        <f t="shared" ref="J21" si="23">ROUND(J19*7%,2)</f>
        <v>607308.1</v>
      </c>
      <c r="K21" s="27">
        <f t="shared" ref="K21:K22" si="24">J21/$D21</f>
        <v>148.17307692307691</v>
      </c>
      <c r="L21" s="26">
        <f t="shared" ref="L21" si="25">ROUND(L19*7%,2)</f>
        <v>0</v>
      </c>
      <c r="M21" s="27">
        <f t="shared" ref="M21:M22" si="26">L21/$D21</f>
        <v>0</v>
      </c>
    </row>
    <row r="22" spans="1:13" x14ac:dyDescent="0.2">
      <c r="A22" s="6" t="s">
        <v>16</v>
      </c>
      <c r="B22" s="6" t="s">
        <v>45</v>
      </c>
      <c r="C22" s="6">
        <v>1</v>
      </c>
      <c r="D22" s="28">
        <f>D19+D21</f>
        <v>62650.699999998658</v>
      </c>
      <c r="E22" s="29">
        <f t="shared" si="18"/>
        <v>1</v>
      </c>
      <c r="F22" s="26">
        <f t="shared" ref="F22" si="27">F19+F21</f>
        <v>0</v>
      </c>
      <c r="G22" s="29">
        <f t="shared" si="20"/>
        <v>0</v>
      </c>
      <c r="H22" s="37">
        <f t="shared" ref="H22" si="28">H19+H21</f>
        <v>9283138.1599999983</v>
      </c>
      <c r="I22" s="38">
        <f t="shared" si="22"/>
        <v>148.17293597677596</v>
      </c>
      <c r="J22" s="28">
        <f t="shared" ref="J22" si="29">J19+J21</f>
        <v>9283138.1599999983</v>
      </c>
      <c r="K22" s="29">
        <f t="shared" si="24"/>
        <v>148.17293597677596</v>
      </c>
      <c r="L22" s="28">
        <f t="shared" ref="L22" si="30">L19+L21</f>
        <v>0</v>
      </c>
      <c r="M22" s="29">
        <f t="shared" si="26"/>
        <v>0</v>
      </c>
    </row>
    <row r="23" spans="1:13" s="2" customFormat="1" x14ac:dyDescent="0.2">
      <c r="A23" s="6"/>
      <c r="B23" s="6"/>
      <c r="C23" s="6"/>
      <c r="D23" s="6"/>
      <c r="E23" s="6"/>
      <c r="F23" s="26"/>
      <c r="G23" s="6"/>
      <c r="H23" s="33"/>
      <c r="I23" s="34"/>
      <c r="J23" s="6"/>
      <c r="K23" s="6"/>
      <c r="L23" s="6"/>
      <c r="M23" s="6"/>
    </row>
    <row r="24" spans="1:13" x14ac:dyDescent="0.2">
      <c r="A24" s="3" t="s">
        <v>46</v>
      </c>
      <c r="B24" s="3" t="s">
        <v>39</v>
      </c>
      <c r="C24" s="3">
        <v>1</v>
      </c>
      <c r="D24" s="26">
        <f>ROUND(D19*5%,2)</f>
        <v>2927.6</v>
      </c>
      <c r="E24" s="27">
        <f t="shared" ref="E24:E25" si="31">D24/$D24</f>
        <v>1</v>
      </c>
      <c r="F24" s="26">
        <f t="shared" ref="F24" si="32">ROUND(F19*5%,2)</f>
        <v>0</v>
      </c>
      <c r="G24" s="27">
        <f t="shared" ref="G24:G25" si="33">F24/$D24</f>
        <v>0</v>
      </c>
      <c r="H24" s="33">
        <f t="shared" ref="H24" si="34">ROUND(H19*5%,2)</f>
        <v>433791.5</v>
      </c>
      <c r="I24" s="34">
        <f t="shared" ref="I24:I25" si="35">H24/$D24</f>
        <v>148.17307692307693</v>
      </c>
      <c r="J24" s="26">
        <f t="shared" ref="J24" si="36">ROUND(J19*5%,2)</f>
        <v>433791.5</v>
      </c>
      <c r="K24" s="27">
        <f t="shared" ref="K24:K25" si="37">J24/$D24</f>
        <v>148.17307692307693</v>
      </c>
      <c r="L24" s="26">
        <f t="shared" ref="L24" si="38">ROUND(L19*5%,2)</f>
        <v>0</v>
      </c>
      <c r="M24" s="27">
        <f t="shared" ref="M24:M25" si="39">L24/$D24</f>
        <v>0</v>
      </c>
    </row>
    <row r="25" spans="1:13" x14ac:dyDescent="0.2">
      <c r="A25" s="6" t="s">
        <v>47</v>
      </c>
      <c r="B25" s="6" t="s">
        <v>44</v>
      </c>
      <c r="C25" s="6">
        <v>1</v>
      </c>
      <c r="D25" s="28">
        <f>D22-D24</f>
        <v>59723.09999999866</v>
      </c>
      <c r="E25" s="29">
        <f t="shared" si="31"/>
        <v>1</v>
      </c>
      <c r="F25" s="26">
        <f t="shared" ref="F25" si="40">F22-F24</f>
        <v>0</v>
      </c>
      <c r="G25" s="29">
        <f t="shared" si="33"/>
        <v>0</v>
      </c>
      <c r="H25" s="37">
        <f t="shared" ref="H25" si="41">H22-H24</f>
        <v>8849346.6599999983</v>
      </c>
      <c r="I25" s="38">
        <f t="shared" si="35"/>
        <v>148.1729290676505</v>
      </c>
      <c r="J25" s="28">
        <f t="shared" ref="J25" si="42">J22-J24</f>
        <v>8849346.6599999983</v>
      </c>
      <c r="K25" s="29">
        <f t="shared" si="37"/>
        <v>148.1729290676505</v>
      </c>
      <c r="L25" s="28">
        <f t="shared" ref="L25" si="43">L22-L24</f>
        <v>0</v>
      </c>
      <c r="M25" s="29">
        <f t="shared" si="39"/>
        <v>0</v>
      </c>
    </row>
    <row r="26" spans="1:13" x14ac:dyDescent="0.2">
      <c r="A26" s="3"/>
      <c r="B26" s="3"/>
      <c r="C26" s="3"/>
      <c r="D26" s="26"/>
      <c r="E26" s="27"/>
      <c r="F26" s="26"/>
      <c r="G26" s="27"/>
      <c r="H26" s="33"/>
      <c r="I26" s="34"/>
      <c r="J26" s="26"/>
      <c r="K26" s="27"/>
      <c r="L26" s="26"/>
      <c r="M26" s="27"/>
    </row>
    <row r="27" spans="1:13" s="39" customFormat="1" x14ac:dyDescent="0.2">
      <c r="A27" s="3" t="s">
        <v>48</v>
      </c>
      <c r="B27" s="3" t="s">
        <v>51</v>
      </c>
      <c r="C27" s="3">
        <v>1</v>
      </c>
      <c r="D27" s="26">
        <f>ROUND(D19*3%,2)</f>
        <v>1756.56</v>
      </c>
      <c r="E27" s="27">
        <f t="shared" ref="E27:E28" si="44">D27/$D27</f>
        <v>1</v>
      </c>
      <c r="F27" s="26">
        <f t="shared" ref="F27" si="45">ROUND(F19*3%,2)</f>
        <v>0</v>
      </c>
      <c r="G27" s="27">
        <f t="shared" ref="G27:G28" si="46">F27/$D27</f>
        <v>0</v>
      </c>
      <c r="H27" s="33">
        <f t="shared" ref="H27" si="47">ROUND(H19*3%,2)</f>
        <v>260274.9</v>
      </c>
      <c r="I27" s="34">
        <f t="shared" ref="I27:I28" si="48">H27/$D27</f>
        <v>148.17307692307693</v>
      </c>
      <c r="J27" s="26">
        <f t="shared" ref="J27" si="49">ROUND(J19*3%,2)</f>
        <v>260274.9</v>
      </c>
      <c r="K27" s="27">
        <f t="shared" ref="K27:K28" si="50">J27/$D27</f>
        <v>148.17307692307693</v>
      </c>
      <c r="L27" s="26">
        <f t="shared" ref="L27" si="51">ROUND(L19*3%,2)</f>
        <v>0</v>
      </c>
      <c r="M27" s="27">
        <f t="shared" ref="M27:M28" si="52">L27/$D27</f>
        <v>0</v>
      </c>
    </row>
    <row r="28" spans="1:13" s="2" customFormat="1" x14ac:dyDescent="0.2">
      <c r="A28" s="6" t="s">
        <v>49</v>
      </c>
      <c r="B28" s="6" t="s">
        <v>19</v>
      </c>
      <c r="C28" s="6">
        <v>1</v>
      </c>
      <c r="D28" s="28">
        <f>D25-D27</f>
        <v>57966.539999998662</v>
      </c>
      <c r="E28" s="29">
        <f t="shared" si="44"/>
        <v>1</v>
      </c>
      <c r="F28" s="26">
        <f t="shared" ref="F28" si="53">F25-F27</f>
        <v>0</v>
      </c>
      <c r="G28" s="29">
        <f t="shared" si="46"/>
        <v>0</v>
      </c>
      <c r="H28" s="37">
        <f t="shared" ref="H28" si="54">H25-H27</f>
        <v>8589071.7599999979</v>
      </c>
      <c r="I28" s="38">
        <f t="shared" si="48"/>
        <v>148.17292458718765</v>
      </c>
      <c r="J28" s="28">
        <f t="shared" ref="J28" si="55">J25-J27</f>
        <v>8589071.7599999979</v>
      </c>
      <c r="K28" s="29">
        <f t="shared" si="50"/>
        <v>148.17292458718765</v>
      </c>
      <c r="L28" s="28">
        <f t="shared" ref="L28" si="56">L25-L27</f>
        <v>0</v>
      </c>
      <c r="M28" s="29">
        <f t="shared" si="52"/>
        <v>0</v>
      </c>
    </row>
    <row r="30" spans="1:13" x14ac:dyDescent="0.2">
      <c r="A30" t="s">
        <v>53</v>
      </c>
    </row>
    <row r="31" spans="1:13" x14ac:dyDescent="0.2">
      <c r="A31" s="54" t="s">
        <v>10</v>
      </c>
      <c r="B31" s="54" t="s">
        <v>11</v>
      </c>
      <c r="C31" s="54" t="s">
        <v>14</v>
      </c>
      <c r="D31" s="54" t="s">
        <v>12</v>
      </c>
      <c r="E31" s="54"/>
      <c r="F31" s="55" t="s">
        <v>21</v>
      </c>
      <c r="G31" s="56"/>
      <c r="H31" s="53" t="s">
        <v>22</v>
      </c>
      <c r="I31" s="53"/>
      <c r="J31" s="53" t="s">
        <v>28</v>
      </c>
      <c r="K31" s="53"/>
      <c r="L31" s="53" t="s">
        <v>0</v>
      </c>
      <c r="M31" s="53"/>
    </row>
    <row r="32" spans="1:13" x14ac:dyDescent="0.2">
      <c r="A32" s="54"/>
      <c r="B32" s="54"/>
      <c r="C32" s="54"/>
      <c r="D32" s="19" t="s">
        <v>13</v>
      </c>
      <c r="E32" s="19" t="s">
        <v>1</v>
      </c>
      <c r="F32" s="19" t="s">
        <v>13</v>
      </c>
      <c r="G32" s="19" t="s">
        <v>1</v>
      </c>
      <c r="H32" s="19" t="s">
        <v>13</v>
      </c>
      <c r="I32" s="19" t="s">
        <v>1</v>
      </c>
      <c r="J32" s="19" t="s">
        <v>13</v>
      </c>
      <c r="K32" s="19" t="s">
        <v>1</v>
      </c>
      <c r="L32" s="19" t="s">
        <v>13</v>
      </c>
      <c r="M32" s="19" t="s">
        <v>1</v>
      </c>
    </row>
    <row r="33" spans="1:13" x14ac:dyDescent="0.2">
      <c r="A33" s="3" t="s">
        <v>4</v>
      </c>
      <c r="B33" s="3" t="s">
        <v>38</v>
      </c>
      <c r="C33" s="3">
        <v>1</v>
      </c>
      <c r="D33" s="26">
        <v>19554282.100000001</v>
      </c>
      <c r="E33" s="27">
        <f>D33/$D33</f>
        <v>1</v>
      </c>
      <c r="F33" s="26">
        <v>11368501.76</v>
      </c>
      <c r="G33" s="27">
        <f>F33/$D33</f>
        <v>0.58138169951020591</v>
      </c>
      <c r="H33" s="33">
        <v>590593.64</v>
      </c>
      <c r="I33" s="34">
        <f>H33/$D33</f>
        <v>3.0202777937830813E-2</v>
      </c>
      <c r="J33" s="26">
        <f>F33+H33</f>
        <v>11959095.4</v>
      </c>
      <c r="K33" s="27">
        <f>J33/$D33</f>
        <v>0.61158447744803679</v>
      </c>
      <c r="L33" s="26">
        <f>D33-J33</f>
        <v>7595186.7000000011</v>
      </c>
      <c r="M33" s="27">
        <f t="shared" ref="M33" si="57">L33/$D33</f>
        <v>0.38841552255196321</v>
      </c>
    </row>
    <row r="34" spans="1:13" x14ac:dyDescent="0.2">
      <c r="A34" s="30" t="s">
        <v>7</v>
      </c>
      <c r="B34" s="43">
        <v>0.3</v>
      </c>
      <c r="C34" s="30">
        <v>1</v>
      </c>
      <c r="D34" s="31">
        <f>ROUND(D33*$B$18,2)</f>
        <v>0</v>
      </c>
      <c r="E34" s="32" t="e">
        <f t="shared" ref="E34" si="58">D34/$D34</f>
        <v>#DIV/0!</v>
      </c>
      <c r="F34" s="31">
        <f t="shared" ref="F34" si="59">ROUND(F33*$B$18,2)</f>
        <v>0</v>
      </c>
      <c r="G34" s="32" t="e">
        <f t="shared" ref="G34" si="60">F34/$D34</f>
        <v>#DIV/0!</v>
      </c>
      <c r="H34" s="35">
        <f t="shared" ref="H34" si="61">ROUND(H33*$B$18,2)</f>
        <v>0</v>
      </c>
      <c r="I34" s="36" t="e">
        <f t="shared" ref="I34" si="62">H34/$D34</f>
        <v>#DIV/0!</v>
      </c>
      <c r="J34" s="31">
        <f t="shared" ref="J34" si="63">ROUND(J33*$B$18,2)</f>
        <v>0</v>
      </c>
      <c r="K34" s="32" t="e">
        <f t="shared" ref="K34" si="64">J34/$D34</f>
        <v>#DIV/0!</v>
      </c>
      <c r="L34" s="31">
        <f>ROUND(L33*$B$18,2)</f>
        <v>0</v>
      </c>
      <c r="M34" s="32" t="e">
        <f>L34/$D34</f>
        <v>#DIV/0!</v>
      </c>
    </row>
    <row r="35" spans="1:13" x14ac:dyDescent="0.2">
      <c r="A35" s="6" t="s">
        <v>8</v>
      </c>
      <c r="B35" s="6" t="s">
        <v>50</v>
      </c>
      <c r="C35" s="6">
        <v>1</v>
      </c>
      <c r="D35" s="28">
        <f>D33-D34</f>
        <v>19554282.100000001</v>
      </c>
      <c r="E35" s="29">
        <f t="shared" ref="E35" si="65">D35/$D35</f>
        <v>1</v>
      </c>
      <c r="F35" s="28">
        <f t="shared" ref="F35" si="66">F33-F34</f>
        <v>11368501.76</v>
      </c>
      <c r="G35" s="29">
        <f t="shared" ref="G35" si="67">F35/$D35</f>
        <v>0.58138169951020591</v>
      </c>
      <c r="H35" s="37">
        <f t="shared" ref="H35" si="68">H33-H34</f>
        <v>590593.64</v>
      </c>
      <c r="I35" s="38">
        <f t="shared" ref="I35" si="69">H35/$D35</f>
        <v>3.0202777937830813E-2</v>
      </c>
      <c r="J35" s="28">
        <f t="shared" ref="J35" si="70">J33-J34</f>
        <v>11959095.4</v>
      </c>
      <c r="K35" s="29">
        <f t="shared" ref="K35" si="71">J35/$D35</f>
        <v>0.61158447744803679</v>
      </c>
      <c r="L35" s="28">
        <f>L33-L34</f>
        <v>7595186.7000000011</v>
      </c>
      <c r="M35" s="29">
        <f t="shared" ref="M35" si="72">L35/$D35</f>
        <v>0.38841552255196321</v>
      </c>
    </row>
    <row r="36" spans="1:13" x14ac:dyDescent="0.2">
      <c r="A36" s="6"/>
      <c r="B36" s="3"/>
      <c r="C36" s="3"/>
      <c r="D36" s="26"/>
      <c r="E36" s="27"/>
      <c r="F36" s="26"/>
      <c r="G36" s="27"/>
      <c r="H36" s="33"/>
      <c r="I36" s="34"/>
      <c r="J36" s="26"/>
      <c r="K36" s="27"/>
      <c r="L36" s="26"/>
      <c r="M36" s="27"/>
    </row>
    <row r="37" spans="1:13" x14ac:dyDescent="0.2">
      <c r="A37" s="3" t="s">
        <v>17</v>
      </c>
      <c r="B37" s="3" t="s">
        <v>41</v>
      </c>
      <c r="C37" s="3">
        <v>1</v>
      </c>
      <c r="D37" s="26">
        <f>ROUND(D35*7%,2)</f>
        <v>1368799.75</v>
      </c>
      <c r="E37" s="27">
        <f t="shared" ref="E37" si="73">D37/$D37</f>
        <v>1</v>
      </c>
      <c r="F37" s="45">
        <f>ROUND(F35*7%,2)</f>
        <v>795795.12</v>
      </c>
      <c r="G37" s="27">
        <f t="shared" ref="G37" si="74">F37/$D37</f>
        <v>0.58138169589817645</v>
      </c>
      <c r="H37" s="33">
        <f t="shared" ref="H37" si="75">ROUND(H35*7%,2)</f>
        <v>41341.550000000003</v>
      </c>
      <c r="I37" s="34">
        <f t="shared" ref="I37" si="76">H37/$D37</f>
        <v>3.0202774364913497E-2</v>
      </c>
      <c r="J37" s="26">
        <f t="shared" ref="J37" si="77">ROUND(J35*7%,2)</f>
        <v>837136.68</v>
      </c>
      <c r="K37" s="27">
        <f t="shared" ref="K37" si="78">J37/$D37</f>
        <v>0.61158447756876055</v>
      </c>
      <c r="L37" s="26">
        <f>ROUND(L35*7%,2)</f>
        <v>531663.06999999995</v>
      </c>
      <c r="M37" s="27">
        <f>L37/$D37</f>
        <v>0.38841552243123945</v>
      </c>
    </row>
    <row r="38" spans="1:13" x14ac:dyDescent="0.2">
      <c r="A38" s="6" t="s">
        <v>16</v>
      </c>
      <c r="B38" s="6" t="s">
        <v>45</v>
      </c>
      <c r="C38" s="6">
        <v>1</v>
      </c>
      <c r="D38" s="28">
        <f>D35+D37</f>
        <v>20923081.850000001</v>
      </c>
      <c r="E38" s="29">
        <f t="shared" ref="E38" si="79">D38/$D38</f>
        <v>1</v>
      </c>
      <c r="F38" s="28">
        <f t="shared" ref="F38" si="80">F35+F37</f>
        <v>12164296.879999999</v>
      </c>
      <c r="G38" s="29">
        <f t="shared" ref="G38" si="81">F38/$D38</f>
        <v>0.58138169927390493</v>
      </c>
      <c r="H38" s="37">
        <f t="shared" ref="H38" si="82">H35+H37</f>
        <v>631935.19000000006</v>
      </c>
      <c r="I38" s="38">
        <f t="shared" ref="I38" si="83">H38/$D38</f>
        <v>3.0202777704088558E-2</v>
      </c>
      <c r="J38" s="28">
        <f t="shared" ref="J38" si="84">J35+J37</f>
        <v>12796232.08</v>
      </c>
      <c r="K38" s="29">
        <f t="shared" ref="K38" si="85">J38/$D38</f>
        <v>0.61158447745593458</v>
      </c>
      <c r="L38" s="28">
        <f>L35+L37</f>
        <v>8126849.7700000014</v>
      </c>
      <c r="M38" s="29">
        <f>L38/$D38</f>
        <v>0.38841552254406542</v>
      </c>
    </row>
    <row r="39" spans="1:13" x14ac:dyDescent="0.2">
      <c r="A39" s="6"/>
      <c r="B39" s="6"/>
      <c r="C39" s="6"/>
      <c r="D39" s="6"/>
      <c r="E39" s="6"/>
      <c r="F39" s="6"/>
      <c r="G39" s="6"/>
      <c r="H39" s="33"/>
      <c r="I39" s="34"/>
      <c r="J39" s="6"/>
      <c r="K39" s="6"/>
      <c r="L39" s="6"/>
      <c r="M39" s="6"/>
    </row>
    <row r="40" spans="1:13" x14ac:dyDescent="0.2">
      <c r="A40" s="30" t="s">
        <v>46</v>
      </c>
      <c r="B40" s="30" t="s">
        <v>39</v>
      </c>
      <c r="C40" s="30">
        <v>1</v>
      </c>
      <c r="D40" s="31">
        <f>ROUND(D33*5%,2)</f>
        <v>977714.11</v>
      </c>
      <c r="E40" s="32">
        <f t="shared" ref="E40" si="86">D40/$D40</f>
        <v>1</v>
      </c>
      <c r="F40" s="44">
        <f>ROUND(F33*5%,2)</f>
        <v>568425.09</v>
      </c>
      <c r="G40" s="32">
        <f t="shared" ref="G40" si="87">F40/$D40</f>
        <v>0.58138169858262556</v>
      </c>
      <c r="H40" s="33">
        <f t="shared" ref="H40" si="88">ROUND(H33*5%,2)</f>
        <v>29529.68</v>
      </c>
      <c r="I40" s="34">
        <f t="shared" ref="I40" si="89">H40/$D40</f>
        <v>3.0202775737786989E-2</v>
      </c>
      <c r="J40" s="31">
        <f t="shared" ref="J40" si="90">ROUND(J33*5%,2)</f>
        <v>597954.77</v>
      </c>
      <c r="K40" s="32">
        <f t="shared" ref="K40" si="91">J40/$D40</f>
        <v>0.61158447432041252</v>
      </c>
      <c r="L40" s="31">
        <f>ROUND(L33*5%,2)-59.99</f>
        <v>379699.35000000003</v>
      </c>
      <c r="M40" s="32">
        <f>L40/$D40</f>
        <v>0.38835416827522318</v>
      </c>
    </row>
    <row r="41" spans="1:13" x14ac:dyDescent="0.2">
      <c r="A41" s="6" t="s">
        <v>47</v>
      </c>
      <c r="B41" s="6" t="s">
        <v>44</v>
      </c>
      <c r="C41" s="6">
        <v>1</v>
      </c>
      <c r="D41" s="28">
        <f>D38-D40</f>
        <v>19945367.740000002</v>
      </c>
      <c r="E41" s="29">
        <f t="shared" ref="E41" si="92">D41/$D41</f>
        <v>1</v>
      </c>
      <c r="F41" s="28">
        <f t="shared" ref="F41" si="93">F38-F40</f>
        <v>11595871.789999999</v>
      </c>
      <c r="G41" s="29">
        <f t="shared" ref="G41" si="94">F41/$D41</f>
        <v>0.58138169930779116</v>
      </c>
      <c r="H41" s="37">
        <f t="shared" ref="H41" si="95">H38-H40</f>
        <v>602405.51</v>
      </c>
      <c r="I41" s="38">
        <f t="shared" ref="I41" si="96">H41/$D41</f>
        <v>3.0202777800475887E-2</v>
      </c>
      <c r="J41" s="28">
        <f t="shared" ref="J41" si="97">J38-J40</f>
        <v>12198277.310000001</v>
      </c>
      <c r="K41" s="29">
        <f t="shared" ref="K41" si="98">J41/$D41</f>
        <v>0.61158447760963663</v>
      </c>
      <c r="L41" s="28">
        <f>L38-L40</f>
        <v>7747150.4200000018</v>
      </c>
      <c r="M41" s="29">
        <f>L41/$D41</f>
        <v>0.38841853010627925</v>
      </c>
    </row>
    <row r="42" spans="1:13" x14ac:dyDescent="0.2">
      <c r="A42" s="30"/>
      <c r="B42" s="30"/>
      <c r="C42" s="30"/>
      <c r="D42" s="31"/>
      <c r="E42" s="32"/>
      <c r="F42" s="31"/>
      <c r="G42" s="32"/>
      <c r="H42" s="35"/>
      <c r="I42" s="36"/>
      <c r="J42" s="31"/>
      <c r="K42" s="32"/>
      <c r="L42" s="31"/>
      <c r="M42" s="32"/>
    </row>
    <row r="43" spans="1:13" x14ac:dyDescent="0.2">
      <c r="A43" s="30" t="s">
        <v>48</v>
      </c>
      <c r="B43" s="30" t="s">
        <v>51</v>
      </c>
      <c r="C43" s="30">
        <v>1</v>
      </c>
      <c r="D43" s="31">
        <f>ROUND((D33-D34)*3%,2)</f>
        <v>586628.46</v>
      </c>
      <c r="E43" s="32">
        <f t="shared" ref="E43" si="99">D43/$D43</f>
        <v>1</v>
      </c>
      <c r="F43" s="31">
        <f>ROUND((F33-F34)*3%,2)</f>
        <v>341055.05</v>
      </c>
      <c r="G43" s="32">
        <f t="shared" ref="G43" si="100">F43/$D43</f>
        <v>0.5813816977103361</v>
      </c>
      <c r="H43" s="35">
        <f>ROUND((H33-H34)*3%,2)</f>
        <v>17717.810000000001</v>
      </c>
      <c r="I43" s="36">
        <f t="shared" ref="I43" si="101">H43/$D43</f>
        <v>3.0202779456012078E-2</v>
      </c>
      <c r="J43" s="31">
        <f>ROUND((J33-J34)*3%,2)</f>
        <v>358772.86</v>
      </c>
      <c r="K43" s="32">
        <f t="shared" ref="K43" si="102">J43/$D43</f>
        <v>0.61158447716634823</v>
      </c>
      <c r="L43" s="31">
        <f>ROUND((L33-L34)*3%,2)</f>
        <v>227855.6</v>
      </c>
      <c r="M43" s="32">
        <f>L43/$D43</f>
        <v>0.38841552283365183</v>
      </c>
    </row>
    <row r="44" spans="1:13" x14ac:dyDescent="0.2">
      <c r="A44" s="6" t="s">
        <v>49</v>
      </c>
      <c r="B44" s="6" t="s">
        <v>19</v>
      </c>
      <c r="C44" s="6">
        <v>1</v>
      </c>
      <c r="D44" s="28">
        <f>D41-D43</f>
        <v>19358739.280000001</v>
      </c>
      <c r="E44" s="29">
        <f t="shared" ref="E44" si="103">D44/$D44</f>
        <v>1</v>
      </c>
      <c r="F44" s="28">
        <f t="shared" ref="F44" si="104">F41-F43</f>
        <v>11254816.739999998</v>
      </c>
      <c r="G44" s="29">
        <f t="shared" ref="G44" si="105">F44/$D44</f>
        <v>0.58138169935619888</v>
      </c>
      <c r="H44" s="37">
        <f t="shared" ref="H44" si="106">H41-H43</f>
        <v>584687.69999999995</v>
      </c>
      <c r="I44" s="38">
        <f t="shared" ref="I44" si="107">H44/$D44</f>
        <v>3.0202777750308125E-2</v>
      </c>
      <c r="J44" s="28">
        <f t="shared" ref="J44" si="108">J41-J43</f>
        <v>11839504.450000001</v>
      </c>
      <c r="K44" s="29">
        <f t="shared" ref="K44" si="109">J44/$D44</f>
        <v>0.61158447762306967</v>
      </c>
      <c r="L44" s="28">
        <f>L41-L43</f>
        <v>7519294.8200000022</v>
      </c>
      <c r="M44" s="29">
        <f>L44/$D44</f>
        <v>0.38841862123575238</v>
      </c>
    </row>
  </sheetData>
  <mergeCells count="16">
    <mergeCell ref="J5:K5"/>
    <mergeCell ref="L5:M5"/>
    <mergeCell ref="A31:A32"/>
    <mergeCell ref="B31:B32"/>
    <mergeCell ref="C31:C32"/>
    <mergeCell ref="D31:E31"/>
    <mergeCell ref="F31:G31"/>
    <mergeCell ref="H31:I31"/>
    <mergeCell ref="J31:K31"/>
    <mergeCell ref="L31:M31"/>
    <mergeCell ref="A5:A6"/>
    <mergeCell ref="B5:B6"/>
    <mergeCell ref="C5:C6"/>
    <mergeCell ref="D5:E5"/>
    <mergeCell ref="F5:G5"/>
    <mergeCell ref="H5:I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14e35-6670-460b-95e8-dad5d6e4e903" xsi:nil="true"/>
    <lcf76f155ced4ddcb4097134ff3c332f xmlns="9986669b-fefd-468c-82da-a846015310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19B34FAE73480943BF7178E82D42FB33" ma:contentTypeVersion="12" ma:contentTypeDescription="สร้างเอกสารใหม่" ma:contentTypeScope="" ma:versionID="68c133c1d2d6784bd9de693984f7b439">
  <xsd:schema xmlns:xsd="http://www.w3.org/2001/XMLSchema" xmlns:xs="http://www.w3.org/2001/XMLSchema" xmlns:p="http://schemas.microsoft.com/office/2006/metadata/properties" xmlns:ns2="9986669b-fefd-468c-82da-a846015310d9" xmlns:ns3="2eb14e35-6670-460b-95e8-dad5d6e4e903" targetNamespace="http://schemas.microsoft.com/office/2006/metadata/properties" ma:root="true" ma:fieldsID="8e32246f2629cfd2af2f792d6730633e" ns2:_="" ns3:_="">
    <xsd:import namespace="9986669b-fefd-468c-82da-a846015310d9"/>
    <xsd:import namespace="2eb14e35-6670-460b-95e8-dad5d6e4e9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6669b-fefd-468c-82da-a84601531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bc9cfa0a-438a-4726-bb73-828d6e407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14e35-6670-460b-95e8-dad5d6e4e9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cf2fa2-13a0-438e-8fbe-3a28f29f2557}" ma:internalName="TaxCatchAll" ma:showField="CatchAllData" ma:web="2eb14e35-6670-460b-95e8-dad5d6e4e9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68158-B19C-484E-B2A6-7E6CDAE6302A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2eb14e35-6670-460b-95e8-dad5d6e4e903"/>
    <ds:schemaRef ds:uri="9986669b-fefd-468c-82da-a846015310d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D0A84BE-344F-4209-AC39-C7A1260875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3E53EF-AE43-4A7D-AD74-EF2B5524AE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6669b-fefd-468c-82da-a846015310d9"/>
    <ds:schemaRef ds:uri="2eb14e35-6670-460b-95e8-dad5d6e4e9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ADISORN</vt:lpstr>
      <vt:lpstr>VJ Group</vt:lpstr>
      <vt:lpstr>MEASIA</vt:lpstr>
      <vt:lpstr>XTI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Pratchaya Seela</dc:creator>
  <cp:keywords/>
  <dc:description/>
  <cp:lastModifiedBy>Pratchaya Seela</cp:lastModifiedBy>
  <cp:revision/>
  <cp:lastPrinted>2026-03-18T11:02:20Z</cp:lastPrinted>
  <dcterms:created xsi:type="dcterms:W3CDTF">2025-03-25T06:54:54Z</dcterms:created>
  <dcterms:modified xsi:type="dcterms:W3CDTF">2026-03-18T11:07:29Z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0x01010019B34FAE73480943BF7178E82D42FB33</vt:lpwstr>
  </property>
  <property fmtid="{D5CDD505-2E9C-101B-9397-08002B2CF9AE}" pid="3" name="MediaServiceImageTags">
    <vt:lpwstr/>
  </property>
</Properties>
</file>